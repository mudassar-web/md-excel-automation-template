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2RoyalUrduSchool\"/>
    </mc:Choice>
  </mc:AlternateContent>
  <xr:revisionPtr revIDLastSave="0" documentId="13_ncr:1_{EE156D65-562E-4619-AC1A-E61FE4F55510}" xr6:coauthVersionLast="47" xr6:coauthVersionMax="47" xr10:uidLastSave="{00000000-0000-0000-0000-000000000000}"/>
  <bookViews>
    <workbookView xWindow="-108" yWindow="-108" windowWidth="23256" windowHeight="13896" tabRatio="601" activeTab="1" xr2:uid="{00000000-000D-0000-FFFF-FFFF00000000}"/>
  </bookViews>
  <sheets>
    <sheet name="Sheet1" sheetId="1" r:id="rId1"/>
    <sheet name="ResultSem1" sheetId="3" r:id="rId2"/>
  </sheets>
  <definedNames>
    <definedName name="_xlnm.Print_Area" localSheetId="1">ResultSem1!$A$1:$M$30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4" i="3" l="1"/>
  <c r="F24" i="3"/>
  <c r="H16" i="3"/>
  <c r="H19" i="3"/>
  <c r="H13" i="3"/>
  <c r="H10" i="3"/>
  <c r="D19" i="3"/>
  <c r="I19" i="3"/>
  <c r="I16" i="3"/>
  <c r="I13" i="3"/>
  <c r="I10" i="3"/>
  <c r="D16" i="3"/>
  <c r="D13" i="3"/>
  <c r="F13" i="3"/>
  <c r="F10" i="3"/>
  <c r="D10" i="3"/>
  <c r="K11" i="3"/>
  <c r="K12" i="3"/>
  <c r="K14" i="3"/>
  <c r="K15" i="3"/>
  <c r="K18" i="3"/>
  <c r="K7" i="3"/>
  <c r="K8" i="3"/>
  <c r="K9" i="3"/>
  <c r="K6" i="3"/>
  <c r="K13" i="3" l="1"/>
  <c r="D24" i="3"/>
  <c r="H25" i="3" s="1"/>
  <c r="K10" i="3"/>
  <c r="K16" i="3"/>
  <c r="K17" i="3"/>
  <c r="K19" i="3"/>
</calcChain>
</file>

<file path=xl/sharedStrings.xml><?xml version="1.0" encoding="utf-8"?>
<sst xmlns="http://schemas.openxmlformats.org/spreadsheetml/2006/main" count="502" uniqueCount="238">
  <si>
    <t>Unique Cd</t>
  </si>
  <si>
    <t>Roll</t>
  </si>
  <si>
    <t>Student Name</t>
  </si>
  <si>
    <t>Birth Date</t>
  </si>
  <si>
    <t>GRN</t>
  </si>
  <si>
    <t>House</t>
  </si>
  <si>
    <t>Mother Name</t>
  </si>
  <si>
    <t>Urdu Ext</t>
  </si>
  <si>
    <t>Urdu IA</t>
  </si>
  <si>
    <t>S647</t>
  </si>
  <si>
    <t>Blue</t>
  </si>
  <si>
    <t>S648</t>
  </si>
  <si>
    <t>Red</t>
  </si>
  <si>
    <t>S649</t>
  </si>
  <si>
    <t>S650</t>
  </si>
  <si>
    <t>S651</t>
  </si>
  <si>
    <t>Yellow</t>
  </si>
  <si>
    <t>S652</t>
  </si>
  <si>
    <t>Green</t>
  </si>
  <si>
    <t>S653</t>
  </si>
  <si>
    <t>Hazra</t>
  </si>
  <si>
    <t>S654</t>
  </si>
  <si>
    <t>S655</t>
  </si>
  <si>
    <t>S656</t>
  </si>
  <si>
    <t>S657</t>
  </si>
  <si>
    <t>S658</t>
  </si>
  <si>
    <t>S659</t>
  </si>
  <si>
    <t>S660</t>
  </si>
  <si>
    <t>S661</t>
  </si>
  <si>
    <t>Sajjo</t>
  </si>
  <si>
    <t>S662</t>
  </si>
  <si>
    <t>Shainaz Begum</t>
  </si>
  <si>
    <t>S663</t>
  </si>
  <si>
    <t>Majaharunnisa</t>
  </si>
  <si>
    <t>S664</t>
  </si>
  <si>
    <t>Khairunisa</t>
  </si>
  <si>
    <t>Iqra Asad Shaikh</t>
  </si>
  <si>
    <t>S665</t>
  </si>
  <si>
    <t>Tabassum</t>
  </si>
  <si>
    <t>Ishrat Jahan Abdul Rauf Chuadhary</t>
  </si>
  <si>
    <t>S666</t>
  </si>
  <si>
    <t>Sharjahan</t>
  </si>
  <si>
    <t>Khadija Matin Charoliya</t>
  </si>
  <si>
    <t>S667</t>
  </si>
  <si>
    <t>Zohara</t>
  </si>
  <si>
    <t>Khadijaah Ashim Kojar</t>
  </si>
  <si>
    <t>S668</t>
  </si>
  <si>
    <t>Tasnim</t>
  </si>
  <si>
    <t>Khansa Riziwan Kadiwala</t>
  </si>
  <si>
    <t>S669</t>
  </si>
  <si>
    <t>Badrunissa</t>
  </si>
  <si>
    <t>Maria Siddiqua Minhaj Ur Rahman Syed</t>
  </si>
  <si>
    <t>S670</t>
  </si>
  <si>
    <t>Atiya Khatoon</t>
  </si>
  <si>
    <t>Mariyam Imran Khorajia</t>
  </si>
  <si>
    <t>S671</t>
  </si>
  <si>
    <t>Irfana</t>
  </si>
  <si>
    <t>Mariyam Mohmed Asif Merchant</t>
  </si>
  <si>
    <t>S672</t>
  </si>
  <si>
    <t>Rizwana</t>
  </si>
  <si>
    <t>Maryam Mohammed Arif Sidhpura</t>
  </si>
  <si>
    <t>S673</t>
  </si>
  <si>
    <t>Javeda</t>
  </si>
  <si>
    <t>Meimuna Ismail Mulla</t>
  </si>
  <si>
    <t>S674</t>
  </si>
  <si>
    <t>Rehana</t>
  </si>
  <si>
    <t>Muskaan Mohd Mustafa Lakhani</t>
  </si>
  <si>
    <t>S675</t>
  </si>
  <si>
    <t>Muzna Mustakim Jagarala</t>
  </si>
  <si>
    <t>S676</t>
  </si>
  <si>
    <t>Yasmeen</t>
  </si>
  <si>
    <t>Nisaat Mohmad Shakil Shaikh</t>
  </si>
  <si>
    <t>S677</t>
  </si>
  <si>
    <t>Tarannum</t>
  </si>
  <si>
    <t>Omaimah Hajirah Obaidullah Shaikh</t>
  </si>
  <si>
    <t>S678</t>
  </si>
  <si>
    <t>Raoshan Jahan</t>
  </si>
  <si>
    <t>Sagira Khatun Vasiullah Khan</t>
  </si>
  <si>
    <t>S680</t>
  </si>
  <si>
    <t>Zubeda</t>
  </si>
  <si>
    <t>Sahinsaba Balakat Shaikh</t>
  </si>
  <si>
    <t>S681</t>
  </si>
  <si>
    <t>Asma</t>
  </si>
  <si>
    <t>Saima Mohamad Iliyas Chaudhari</t>
  </si>
  <si>
    <t>S683</t>
  </si>
  <si>
    <t>Noorjahan Khatun</t>
  </si>
  <si>
    <t>Saima Mohammad Salim Khan</t>
  </si>
  <si>
    <t>S682</t>
  </si>
  <si>
    <t>Firdoz</t>
  </si>
  <si>
    <t>Sajiya Hasan Khan</t>
  </si>
  <si>
    <t>S684</t>
  </si>
  <si>
    <t>Shamim</t>
  </si>
  <si>
    <t>Saleha Tabassum Chandpasha Sayyed</t>
  </si>
  <si>
    <t>S685</t>
  </si>
  <si>
    <t>Parveen</t>
  </si>
  <si>
    <t>Samia Mustaq Ahmed Khan</t>
  </si>
  <si>
    <t>S686</t>
  </si>
  <si>
    <t>Samiya Fakhruddin Mansoori</t>
  </si>
  <si>
    <t>S687</t>
  </si>
  <si>
    <t>Rubina</t>
  </si>
  <si>
    <t>Shahista Mohammed Idris Mistry</t>
  </si>
  <si>
    <t>S688</t>
  </si>
  <si>
    <t>Shakira Ali Abdul Karim Shah</t>
  </si>
  <si>
    <t>S689</t>
  </si>
  <si>
    <t>Mertunisa</t>
  </si>
  <si>
    <t>Shariya Shueb Sarang</t>
  </si>
  <si>
    <t>S690</t>
  </si>
  <si>
    <t>Shabnoor</t>
  </si>
  <si>
    <t>Shifa Zulfikar Kapoor</t>
  </si>
  <si>
    <t>S691</t>
  </si>
  <si>
    <t>Madina</t>
  </si>
  <si>
    <t>Shiffa Abdula Shaikh</t>
  </si>
  <si>
    <t>S692</t>
  </si>
  <si>
    <t>Wahida</t>
  </si>
  <si>
    <t>Sumaiya Mohd. Ahmed Khan</t>
  </si>
  <si>
    <t>S693</t>
  </si>
  <si>
    <t>Sajjida Khatoon</t>
  </si>
  <si>
    <t>Tarannum Abdul Mannan Khan</t>
  </si>
  <si>
    <t>S694</t>
  </si>
  <si>
    <t>Noorjahan</t>
  </si>
  <si>
    <t>Tuba Rais Shaikh</t>
  </si>
  <si>
    <t>S695</t>
  </si>
  <si>
    <t>Lubna</t>
  </si>
  <si>
    <t>Zeenat Begum Abdul Razaq Mullah</t>
  </si>
  <si>
    <t>S696</t>
  </si>
  <si>
    <t>Shamshad Begum</t>
  </si>
  <si>
    <t>Hayat Abdul Wahab Shaikh</t>
  </si>
  <si>
    <t>S619</t>
  </si>
  <si>
    <t>Salma</t>
  </si>
  <si>
    <t>S637</t>
  </si>
  <si>
    <t>S623</t>
  </si>
  <si>
    <t>D.O.B.</t>
  </si>
  <si>
    <t>GR.NO</t>
  </si>
  <si>
    <t>ROLL NO</t>
  </si>
  <si>
    <t>STD</t>
  </si>
  <si>
    <t>NAME</t>
  </si>
  <si>
    <t>Total Students</t>
  </si>
  <si>
    <t>Standard</t>
  </si>
  <si>
    <t>IX</t>
  </si>
  <si>
    <t>SUBJECTS</t>
  </si>
  <si>
    <t>TOTAL</t>
  </si>
  <si>
    <t>MAX. MARKS WRITTEN</t>
  </si>
  <si>
    <t>MAX. MARKS OBTAINED</t>
  </si>
  <si>
    <t>I.A. MARKS OBTAINED</t>
  </si>
  <si>
    <t>MAX. MARKS
I.A.</t>
  </si>
  <si>
    <t>Urdu</t>
  </si>
  <si>
    <t>English</t>
  </si>
  <si>
    <t>Hindi</t>
  </si>
  <si>
    <t>Marathi</t>
  </si>
  <si>
    <t>Algebra</t>
  </si>
  <si>
    <t>Geometry</t>
  </si>
  <si>
    <t>Science &amp; Tech. I</t>
  </si>
  <si>
    <t>Science &amp; Tech. II</t>
  </si>
  <si>
    <t>S.S.I (His/Pol)</t>
  </si>
  <si>
    <t>S.S.II (Geog)</t>
  </si>
  <si>
    <t>GRADED SUBJECT</t>
  </si>
  <si>
    <t>Self Dev. &amp; A.A.</t>
  </si>
  <si>
    <t>P.E.</t>
  </si>
  <si>
    <t>Defense</t>
  </si>
  <si>
    <t>GRAND TOTAL</t>
  </si>
  <si>
    <t>PERCENTAGE:</t>
  </si>
  <si>
    <t>ATTENDANCE:</t>
  </si>
  <si>
    <t>Class Teacher's Signature</t>
  </si>
  <si>
    <t>Principal's Signature</t>
  </si>
  <si>
    <t>English Ext</t>
  </si>
  <si>
    <t>English IA</t>
  </si>
  <si>
    <t>Hindi Ext</t>
  </si>
  <si>
    <t>Hindi IA</t>
  </si>
  <si>
    <t>Marathi Ext</t>
  </si>
  <si>
    <t>Marathi IA</t>
  </si>
  <si>
    <t>Algebra Ext</t>
  </si>
  <si>
    <t>Algebra IA</t>
  </si>
  <si>
    <t>Geometry Ext</t>
  </si>
  <si>
    <t>Geometry IA</t>
  </si>
  <si>
    <t>Science &amp; Tech I Ext</t>
  </si>
  <si>
    <t>Science &amp; Tech I IA</t>
  </si>
  <si>
    <t>Science &amp; Tech II Ext</t>
  </si>
  <si>
    <t>Science &amp; Tech II IA</t>
  </si>
  <si>
    <t>S.S.I (His/Pol) Ext</t>
  </si>
  <si>
    <t>S.S.I (His/Pol) IA</t>
  </si>
  <si>
    <t>S.S.II (Geog) Ext</t>
  </si>
  <si>
    <t>S.S.II (Geog) IA</t>
  </si>
  <si>
    <t>Attendence</t>
  </si>
  <si>
    <t>Remark</t>
  </si>
  <si>
    <t>Total Attendence</t>
  </si>
  <si>
    <t>A</t>
  </si>
  <si>
    <t>B</t>
  </si>
  <si>
    <t>C</t>
  </si>
  <si>
    <t>Good
Keep it Up</t>
  </si>
  <si>
    <t>Excellent
Result Appreicatied</t>
  </si>
  <si>
    <t>Acheiveing
Can do better</t>
  </si>
  <si>
    <t>I Semester Result Sheet</t>
  </si>
  <si>
    <t>(2019-2020)</t>
  </si>
  <si>
    <t>Remarks:</t>
  </si>
  <si>
    <r>
      <rPr>
        <b/>
        <sz val="12"/>
        <color theme="1"/>
        <rFont val="Times New Roman"/>
        <family val="1"/>
      </rPr>
      <t>Grade:</t>
    </r>
    <r>
      <rPr>
        <sz val="12"/>
        <color theme="1"/>
        <rFont val="Times New Roman"/>
        <family val="1"/>
      </rPr>
      <t xml:space="preserve"> 60% &amp; Above - </t>
    </r>
    <r>
      <rPr>
        <b/>
        <sz val="12"/>
        <color theme="1"/>
        <rFont val="Times New Roman"/>
        <family val="1"/>
      </rPr>
      <t>A</t>
    </r>
    <r>
      <rPr>
        <sz val="12"/>
        <color theme="1"/>
        <rFont val="Times New Roman"/>
        <family val="1"/>
      </rPr>
      <t xml:space="preserve"> 45% to 59% - </t>
    </r>
    <r>
      <rPr>
        <b/>
        <sz val="12"/>
        <color theme="1"/>
        <rFont val="Times New Roman"/>
        <family val="1"/>
      </rPr>
      <t>B</t>
    </r>
    <r>
      <rPr>
        <sz val="12"/>
        <color theme="1"/>
        <rFont val="Times New Roman"/>
        <family val="1"/>
      </rPr>
      <t xml:space="preserve"> 35% to 44% - </t>
    </r>
    <r>
      <rPr>
        <b/>
        <sz val="12"/>
        <color theme="1"/>
        <rFont val="Times New Roman"/>
        <family val="1"/>
      </rPr>
      <t xml:space="preserve">C </t>
    </r>
    <r>
      <rPr>
        <sz val="12"/>
        <color theme="1"/>
        <rFont val="Times New Roman"/>
        <family val="1"/>
      </rPr>
      <t xml:space="preserve">Below 35% - </t>
    </r>
    <r>
      <rPr>
        <b/>
        <sz val="12"/>
        <color theme="1"/>
        <rFont val="Times New Roman"/>
        <family val="1"/>
      </rPr>
      <t>D</t>
    </r>
    <r>
      <rPr>
        <sz val="12"/>
        <color theme="1"/>
        <rFont val="Times New Roman"/>
        <family val="1"/>
      </rPr>
      <t xml:space="preserve"> </t>
    </r>
  </si>
  <si>
    <t>Date</t>
  </si>
  <si>
    <t>Aafiya Badra</t>
  </si>
  <si>
    <t>Aaisha Abid</t>
  </si>
  <si>
    <t>Afra Chaudhari</t>
  </si>
  <si>
    <t>Afsana Khatoon</t>
  </si>
  <si>
    <t>Alima Qureshi</t>
  </si>
  <si>
    <t>Aniqa B. Shaikh</t>
  </si>
  <si>
    <t>Ayesha Rafi Khan</t>
  </si>
  <si>
    <t>Aziya Aariz Shaikh</t>
  </si>
  <si>
    <t>Ayesha M. Shaikh</t>
  </si>
  <si>
    <t>Bushra Momin</t>
  </si>
  <si>
    <t>Ekra Gulam Khan</t>
  </si>
  <si>
    <t>Fatima Isha Shaikh</t>
  </si>
  <si>
    <t>Fatima Sakir Ansari</t>
  </si>
  <si>
    <t>Fatima Hamza Khan</t>
  </si>
  <si>
    <t>Gulshan Nazim Khan</t>
  </si>
  <si>
    <t>Hajara Mudassir Khan</t>
  </si>
  <si>
    <t>Halima Zaki Sharif</t>
  </si>
  <si>
    <t>Rabiya</t>
  </si>
  <si>
    <t>Ishrat</t>
  </si>
  <si>
    <t>Rumana</t>
  </si>
  <si>
    <t>Kaynat</t>
  </si>
  <si>
    <t>Noorie</t>
  </si>
  <si>
    <t>Dilshad</t>
  </si>
  <si>
    <t>Halima</t>
  </si>
  <si>
    <t>Shabna</t>
  </si>
  <si>
    <t>Shakira</t>
  </si>
  <si>
    <t>Haseena</t>
  </si>
  <si>
    <t>Shabira</t>
  </si>
  <si>
    <t>Afiya</t>
  </si>
  <si>
    <t>Saniya</t>
  </si>
  <si>
    <t>Hafiza</t>
  </si>
  <si>
    <t>Meetings Exception
Can do better</t>
  </si>
  <si>
    <t>Adiba Ramzan Shah</t>
  </si>
  <si>
    <t>Kahkasha Majeed Shaikh</t>
  </si>
  <si>
    <t>Nazmeen</t>
  </si>
  <si>
    <t>Shazmeen</t>
  </si>
  <si>
    <t>Seedra Jamil Shaikh</t>
  </si>
  <si>
    <t>96/98</t>
  </si>
  <si>
    <t>Aafiya Badra Rabiya</t>
  </si>
  <si>
    <t>14-01-2005</t>
  </si>
  <si>
    <t>[1303003]</t>
  </si>
  <si>
    <t>Result (Row No.)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</si>
</sst>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&quot;-&quot;mm&quot;-&quot;yyyy"/>
  </numFmts>
  <fonts count="11" x14ac:knownFonts="1">
    <font>
      <sz val="11"/>
      <color theme="1"/>
      <name val="Calibri"/>
      <family val="2"/>
      <scheme val="minor"/>
    </font>
    <font>
      <sz val="9.85"/>
      <color indexed="8"/>
      <name val="Times New Roman"/>
    </font>
    <font>
      <sz val="9"/>
      <color indexed="8"/>
      <name val="Times New Roman"/>
    </font>
    <font>
      <sz val="11.05"/>
      <color indexed="8"/>
      <name val="Times New Roman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9.85"/>
      <color indexed="8"/>
      <name val="Times New Roman"/>
      <family val="1"/>
    </font>
    <font>
      <sz val="11.05"/>
      <color indexed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3" fillId="0" borderId="0" xfId="0" applyFont="1" applyAlignment="1">
      <alignment vertical="center"/>
    </xf>
    <xf numFmtId="1" fontId="1" fillId="0" borderId="0" xfId="0" applyNumberFormat="1" applyFont="1" applyAlignment="1">
      <alignment horizontal="right" vertical="center"/>
    </xf>
    <xf numFmtId="16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14" fontId="0" fillId="0" borderId="0" xfId="0" applyNumberFormat="1"/>
    <xf numFmtId="0" fontId="5" fillId="0" borderId="1" xfId="0" applyFont="1" applyBorder="1"/>
    <xf numFmtId="0" fontId="4" fillId="0" borderId="0" xfId="0" applyFont="1"/>
    <xf numFmtId="0" fontId="6" fillId="0" borderId="0" xfId="0" applyFont="1"/>
    <xf numFmtId="0" fontId="5" fillId="0" borderId="0" xfId="0" applyFont="1"/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left" vertical="center"/>
    </xf>
    <xf numFmtId="0" fontId="0" fillId="2" borderId="0" xfId="0" applyFill="1"/>
    <xf numFmtId="0" fontId="0" fillId="0" borderId="0" xfId="0" applyAlignment="1">
      <alignment wrapText="1"/>
    </xf>
    <xf numFmtId="0" fontId="0" fillId="0" borderId="1" xfId="0" applyBorder="1"/>
    <xf numFmtId="0" fontId="0" fillId="0" borderId="1" xfId="0" applyBorder="1" applyAlignment="1">
      <alignment horizontal="right"/>
    </xf>
    <xf numFmtId="0" fontId="5" fillId="0" borderId="1" xfId="0" applyFont="1" applyBorder="1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6" fillId="0" borderId="4" xfId="0" applyFont="1" applyBorder="1" applyAlignment="1">
      <alignment horizontal="center" wrapText="1"/>
    </xf>
    <xf numFmtId="0" fontId="7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5" fillId="0" borderId="0" xfId="0" applyFont="1" applyAlignment="1">
      <alignment horizontal="center"/>
    </xf>
    <xf numFmtId="0" fontId="5" fillId="0" borderId="5" xfId="0" applyFont="1" applyBorder="1" applyAlignment="1">
      <alignment horizontal="center"/>
    </xf>
    <xf numFmtId="0" fontId="7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7" fillId="0" borderId="0" xfId="0" applyFont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wrapText="1"/>
    </xf>
    <xf numFmtId="0" fontId="6" fillId="0" borderId="0" xfId="0" applyFont="1" applyAlignment="1">
      <alignment horizontal="center"/>
    </xf>
    <xf numFmtId="0" fontId="5" fillId="0" borderId="2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8" fillId="0" borderId="6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top" wrapText="1"/>
    </xf>
    <xf numFmtId="0" fontId="6" fillId="0" borderId="0" xfId="0" applyFont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8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1" xfId="0" applyFont="1" applyBorder="1" applyAlignment="1">
      <alignment horizontal="left" vertical="top"/>
    </xf>
    <xf numFmtId="0" fontId="6" fillId="0" borderId="12" xfId="0" applyFont="1" applyBorder="1" applyAlignment="1">
      <alignment horizontal="left" vertical="top"/>
    </xf>
    <xf numFmtId="0" fontId="5" fillId="0" borderId="2" xfId="0" quotePrefix="1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6" fillId="0" borderId="2" xfId="0" applyFont="1" applyBorder="1" applyAlignment="1">
      <alignment horizontal="center" wrapText="1"/>
    </xf>
    <xf numFmtId="0" fontId="6" fillId="0" borderId="4" xfId="0" applyFont="1" applyBorder="1" applyAlignment="1">
      <alignment horizontal="center" wrapText="1"/>
    </xf>
    <xf numFmtId="0" fontId="6" fillId="0" borderId="3" xfId="0" applyFont="1" applyBorder="1" applyAlignment="1">
      <alignment horizontal="center" wrapText="1"/>
    </xf>
    <xf numFmtId="14" fontId="5" fillId="0" borderId="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1211580</xdr:colOff>
          <xdr:row>1</xdr:row>
          <xdr:rowOff>0</xdr:rowOff>
        </xdr:from>
        <xdr:to>
          <xdr:col>2</xdr:col>
          <xdr:colOff>2415540</xdr:colOff>
          <xdr:row>2</xdr:row>
          <xdr:rowOff>15240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160020</xdr:colOff>
          <xdr:row>2</xdr:row>
          <xdr:rowOff>22860</xdr:rowOff>
        </xdr:from>
        <xdr:to>
          <xdr:col>16</xdr:col>
          <xdr:colOff>312420</xdr:colOff>
          <xdr:row>4</xdr:row>
          <xdr:rowOff>22860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57"/>
  <sheetViews>
    <sheetView zoomScaleNormal="100" workbookViewId="0">
      <selection activeCell="B57" sqref="B57"/>
    </sheetView>
  </sheetViews>
  <sheetFormatPr defaultRowHeight="14.4" x14ac:dyDescent="0.3"/>
  <cols>
    <col min="1" max="1" width="16.44140625" bestFit="1" customWidth="1"/>
    <col min="3" max="3" width="35.88671875" bestFit="1" customWidth="1"/>
    <col min="4" max="4" width="11.109375" bestFit="1" customWidth="1"/>
    <col min="7" max="7" width="16.5546875" bestFit="1" customWidth="1"/>
    <col min="12" max="12" width="9.6640625" bestFit="1" customWidth="1"/>
    <col min="20" max="20" width="16.88671875" bestFit="1" customWidth="1"/>
    <col min="21" max="21" width="16.5546875" bestFit="1" customWidth="1"/>
    <col min="22" max="22" width="17.5546875" bestFit="1" customWidth="1"/>
    <col min="23" max="23" width="17.33203125" bestFit="1" customWidth="1"/>
    <col min="24" max="24" width="14.44140625" bestFit="1" customWidth="1"/>
    <col min="25" max="25" width="14.109375" bestFit="1" customWidth="1"/>
    <col min="26" max="26" width="13.44140625" bestFit="1" customWidth="1"/>
    <col min="27" max="27" width="14.109375" bestFit="1" customWidth="1"/>
    <col min="28" max="28" width="15" bestFit="1" customWidth="1"/>
    <col min="29" max="29" width="4.33203125" bestFit="1" customWidth="1"/>
    <col min="30" max="30" width="8.44140625" bestFit="1" customWidth="1"/>
    <col min="31" max="31" width="12.109375" customWidth="1"/>
    <col min="32" max="32" width="11.44140625" bestFit="1" customWidth="1"/>
  </cols>
  <sheetData>
    <row r="1" spans="1:32" s="15" customFormat="1" x14ac:dyDescent="0.3">
      <c r="A1" s="11" t="s">
        <v>0</v>
      </c>
      <c r="B1" s="12" t="s">
        <v>1</v>
      </c>
      <c r="C1" s="11" t="s">
        <v>2</v>
      </c>
      <c r="D1" s="13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4" t="s">
        <v>164</v>
      </c>
      <c r="K1" s="14" t="s">
        <v>165</v>
      </c>
      <c r="L1" s="14" t="s">
        <v>166</v>
      </c>
      <c r="M1" s="14" t="s">
        <v>167</v>
      </c>
      <c r="N1" s="14" t="s">
        <v>168</v>
      </c>
      <c r="O1" s="14" t="s">
        <v>169</v>
      </c>
      <c r="P1" s="14" t="s">
        <v>170</v>
      </c>
      <c r="Q1" s="14" t="s">
        <v>171</v>
      </c>
      <c r="R1" s="14" t="s">
        <v>172</v>
      </c>
      <c r="S1" s="14" t="s">
        <v>173</v>
      </c>
      <c r="T1" s="14" t="s">
        <v>174</v>
      </c>
      <c r="U1" s="14" t="s">
        <v>175</v>
      </c>
      <c r="V1" s="14" t="s">
        <v>176</v>
      </c>
      <c r="W1" s="14" t="s">
        <v>177</v>
      </c>
      <c r="X1" s="14" t="s">
        <v>178</v>
      </c>
      <c r="Y1" s="14" t="s">
        <v>179</v>
      </c>
      <c r="Z1" s="14" t="s">
        <v>180</v>
      </c>
      <c r="AA1" s="15" t="s">
        <v>181</v>
      </c>
      <c r="AB1" s="15" t="s">
        <v>156</v>
      </c>
      <c r="AC1" s="15" t="s">
        <v>157</v>
      </c>
      <c r="AD1" s="15" t="s">
        <v>158</v>
      </c>
      <c r="AE1" s="15" t="s">
        <v>183</v>
      </c>
      <c r="AF1" s="15" t="s">
        <v>182</v>
      </c>
    </row>
    <row r="2" spans="1:32" ht="28.8" x14ac:dyDescent="0.3">
      <c r="A2" s="2">
        <v>1303003</v>
      </c>
      <c r="B2" s="2">
        <v>1</v>
      </c>
      <c r="C2" s="26" t="s">
        <v>196</v>
      </c>
      <c r="D2" s="3">
        <v>38366</v>
      </c>
      <c r="E2" s="4" t="s">
        <v>9</v>
      </c>
      <c r="F2" s="5" t="s">
        <v>10</v>
      </c>
      <c r="G2" s="26" t="s">
        <v>213</v>
      </c>
      <c r="H2">
        <v>67</v>
      </c>
      <c r="I2">
        <v>18</v>
      </c>
      <c r="J2">
        <v>54</v>
      </c>
      <c r="K2">
        <v>17</v>
      </c>
      <c r="L2">
        <v>40</v>
      </c>
      <c r="M2">
        <v>9</v>
      </c>
      <c r="N2">
        <v>38</v>
      </c>
      <c r="O2">
        <v>8</v>
      </c>
      <c r="P2">
        <v>39</v>
      </c>
      <c r="Q2">
        <v>8</v>
      </c>
      <c r="R2">
        <v>32</v>
      </c>
      <c r="S2">
        <v>7</v>
      </c>
      <c r="T2">
        <v>36</v>
      </c>
      <c r="U2">
        <v>7</v>
      </c>
      <c r="V2">
        <v>39</v>
      </c>
      <c r="W2">
        <v>9</v>
      </c>
      <c r="X2">
        <v>35</v>
      </c>
      <c r="Y2">
        <v>8</v>
      </c>
      <c r="Z2">
        <v>33</v>
      </c>
      <c r="AA2">
        <v>7</v>
      </c>
      <c r="AB2" t="s">
        <v>185</v>
      </c>
      <c r="AC2" t="s">
        <v>187</v>
      </c>
      <c r="AD2" t="s">
        <v>186</v>
      </c>
      <c r="AE2" s="16" t="s">
        <v>188</v>
      </c>
      <c r="AF2">
        <v>96</v>
      </c>
    </row>
    <row r="3" spans="1:32" ht="43.2" x14ac:dyDescent="0.3">
      <c r="A3" s="2">
        <v>1303005</v>
      </c>
      <c r="B3" s="2">
        <v>2</v>
      </c>
      <c r="C3" s="26" t="s">
        <v>197</v>
      </c>
      <c r="D3" s="3">
        <v>38703</v>
      </c>
      <c r="E3" s="4" t="s">
        <v>11</v>
      </c>
      <c r="F3" s="5" t="s">
        <v>12</v>
      </c>
      <c r="G3" s="26" t="s">
        <v>214</v>
      </c>
      <c r="H3">
        <v>76</v>
      </c>
      <c r="I3">
        <v>19</v>
      </c>
      <c r="J3">
        <v>60</v>
      </c>
      <c r="K3">
        <v>19</v>
      </c>
      <c r="L3">
        <v>36</v>
      </c>
      <c r="M3">
        <v>6</v>
      </c>
      <c r="N3">
        <v>39</v>
      </c>
      <c r="O3">
        <v>8</v>
      </c>
      <c r="P3">
        <v>39</v>
      </c>
      <c r="Q3">
        <v>9</v>
      </c>
      <c r="R3">
        <v>37</v>
      </c>
      <c r="S3">
        <v>8</v>
      </c>
      <c r="T3">
        <v>40</v>
      </c>
      <c r="U3">
        <v>9</v>
      </c>
      <c r="V3">
        <v>37</v>
      </c>
      <c r="W3">
        <v>7</v>
      </c>
      <c r="X3">
        <v>33</v>
      </c>
      <c r="Y3">
        <v>6</v>
      </c>
      <c r="Z3">
        <v>40</v>
      </c>
      <c r="AA3">
        <v>9</v>
      </c>
      <c r="AB3" t="s">
        <v>186</v>
      </c>
      <c r="AC3" t="s">
        <v>185</v>
      </c>
      <c r="AD3" t="s">
        <v>187</v>
      </c>
      <c r="AE3" s="16" t="s">
        <v>189</v>
      </c>
      <c r="AF3">
        <v>93</v>
      </c>
    </row>
    <row r="4" spans="1:32" ht="43.2" x14ac:dyDescent="0.3">
      <c r="A4" s="2">
        <v>1303041</v>
      </c>
      <c r="B4" s="2">
        <v>3</v>
      </c>
      <c r="C4" s="26" t="s">
        <v>228</v>
      </c>
      <c r="D4" s="3">
        <v>38793</v>
      </c>
      <c r="E4" s="4" t="s">
        <v>13</v>
      </c>
      <c r="F4" s="5" t="s">
        <v>10</v>
      </c>
      <c r="G4" s="26" t="s">
        <v>215</v>
      </c>
      <c r="H4">
        <v>54</v>
      </c>
      <c r="I4">
        <v>14</v>
      </c>
      <c r="J4">
        <v>54</v>
      </c>
      <c r="K4">
        <v>14</v>
      </c>
      <c r="L4">
        <v>39</v>
      </c>
      <c r="M4">
        <v>7</v>
      </c>
      <c r="N4">
        <v>35</v>
      </c>
      <c r="O4">
        <v>6</v>
      </c>
      <c r="P4">
        <v>37</v>
      </c>
      <c r="Q4">
        <v>8</v>
      </c>
      <c r="R4">
        <v>39</v>
      </c>
      <c r="S4">
        <v>8</v>
      </c>
      <c r="T4">
        <v>33</v>
      </c>
      <c r="U4">
        <v>7</v>
      </c>
      <c r="V4">
        <v>32</v>
      </c>
      <c r="W4">
        <v>5</v>
      </c>
      <c r="X4">
        <v>30</v>
      </c>
      <c r="Y4">
        <v>5</v>
      </c>
      <c r="Z4">
        <v>31</v>
      </c>
      <c r="AA4">
        <v>7</v>
      </c>
      <c r="AB4" t="s">
        <v>186</v>
      </c>
      <c r="AC4" t="s">
        <v>187</v>
      </c>
      <c r="AD4" t="s">
        <v>185</v>
      </c>
      <c r="AE4" s="16" t="s">
        <v>227</v>
      </c>
      <c r="AF4">
        <v>87</v>
      </c>
    </row>
    <row r="5" spans="1:32" ht="28.8" x14ac:dyDescent="0.3">
      <c r="A5" s="2">
        <v>1303007</v>
      </c>
      <c r="B5" s="2">
        <v>4</v>
      </c>
      <c r="C5" s="26" t="s">
        <v>198</v>
      </c>
      <c r="D5" s="3">
        <v>38763</v>
      </c>
      <c r="E5" s="4" t="s">
        <v>14</v>
      </c>
      <c r="F5" s="5" t="s">
        <v>12</v>
      </c>
      <c r="G5" s="26" t="s">
        <v>216</v>
      </c>
      <c r="H5">
        <v>67</v>
      </c>
      <c r="I5">
        <v>18</v>
      </c>
      <c r="J5">
        <v>54</v>
      </c>
      <c r="K5">
        <v>17</v>
      </c>
      <c r="L5">
        <v>40</v>
      </c>
      <c r="M5">
        <v>9</v>
      </c>
      <c r="N5">
        <v>38</v>
      </c>
      <c r="O5">
        <v>8</v>
      </c>
      <c r="P5">
        <v>39</v>
      </c>
      <c r="Q5">
        <v>8</v>
      </c>
      <c r="R5">
        <v>32</v>
      </c>
      <c r="S5">
        <v>7</v>
      </c>
      <c r="T5">
        <v>36</v>
      </c>
      <c r="U5">
        <v>7</v>
      </c>
      <c r="V5">
        <v>39</v>
      </c>
      <c r="W5">
        <v>9</v>
      </c>
      <c r="X5">
        <v>35</v>
      </c>
      <c r="Y5">
        <v>8</v>
      </c>
      <c r="Z5">
        <v>33</v>
      </c>
      <c r="AA5">
        <v>7</v>
      </c>
      <c r="AB5" t="s">
        <v>185</v>
      </c>
      <c r="AC5" t="s">
        <v>186</v>
      </c>
      <c r="AD5" t="s">
        <v>187</v>
      </c>
      <c r="AE5" s="16" t="s">
        <v>188</v>
      </c>
      <c r="AF5">
        <v>96</v>
      </c>
    </row>
    <row r="6" spans="1:32" ht="43.2" x14ac:dyDescent="0.3">
      <c r="A6" s="2">
        <v>1303002</v>
      </c>
      <c r="B6" s="2">
        <v>5</v>
      </c>
      <c r="C6" s="26" t="s">
        <v>199</v>
      </c>
      <c r="D6" s="3">
        <v>38353</v>
      </c>
      <c r="E6" s="4" t="s">
        <v>15</v>
      </c>
      <c r="F6" s="5" t="s">
        <v>16</v>
      </c>
      <c r="G6" s="26" t="s">
        <v>217</v>
      </c>
      <c r="H6">
        <v>76</v>
      </c>
      <c r="I6">
        <v>19</v>
      </c>
      <c r="J6">
        <v>60</v>
      </c>
      <c r="K6">
        <v>19</v>
      </c>
      <c r="L6">
        <v>36</v>
      </c>
      <c r="M6">
        <v>6</v>
      </c>
      <c r="N6">
        <v>39</v>
      </c>
      <c r="O6">
        <v>8</v>
      </c>
      <c r="P6">
        <v>39</v>
      </c>
      <c r="Q6">
        <v>9</v>
      </c>
      <c r="R6">
        <v>37</v>
      </c>
      <c r="S6">
        <v>8</v>
      </c>
      <c r="T6">
        <v>40</v>
      </c>
      <c r="U6">
        <v>9</v>
      </c>
      <c r="V6">
        <v>37</v>
      </c>
      <c r="W6">
        <v>7</v>
      </c>
      <c r="X6">
        <v>33</v>
      </c>
      <c r="Y6">
        <v>6</v>
      </c>
      <c r="Z6">
        <v>40</v>
      </c>
      <c r="AA6">
        <v>9</v>
      </c>
      <c r="AB6" t="s">
        <v>186</v>
      </c>
      <c r="AC6" t="s">
        <v>185</v>
      </c>
      <c r="AD6" t="s">
        <v>186</v>
      </c>
      <c r="AE6" s="16" t="s">
        <v>189</v>
      </c>
      <c r="AF6">
        <v>90</v>
      </c>
    </row>
    <row r="7" spans="1:32" ht="28.8" x14ac:dyDescent="0.3">
      <c r="A7" s="2">
        <v>1303037</v>
      </c>
      <c r="B7" s="2">
        <v>6</v>
      </c>
      <c r="C7" s="26" t="s">
        <v>200</v>
      </c>
      <c r="D7" s="3">
        <v>38763</v>
      </c>
      <c r="E7" s="4" t="s">
        <v>17</v>
      </c>
      <c r="F7" s="5" t="s">
        <v>18</v>
      </c>
      <c r="G7" s="26" t="s">
        <v>218</v>
      </c>
      <c r="H7">
        <v>54</v>
      </c>
      <c r="I7">
        <v>14</v>
      </c>
      <c r="J7">
        <v>54</v>
      </c>
      <c r="K7">
        <v>14</v>
      </c>
      <c r="L7">
        <v>39</v>
      </c>
      <c r="M7">
        <v>7</v>
      </c>
      <c r="N7">
        <v>35</v>
      </c>
      <c r="O7">
        <v>6</v>
      </c>
      <c r="P7">
        <v>37</v>
      </c>
      <c r="Q7">
        <v>8</v>
      </c>
      <c r="R7">
        <v>39</v>
      </c>
      <c r="S7">
        <v>8</v>
      </c>
      <c r="T7">
        <v>33</v>
      </c>
      <c r="U7">
        <v>7</v>
      </c>
      <c r="V7">
        <v>32</v>
      </c>
      <c r="W7">
        <v>5</v>
      </c>
      <c r="X7">
        <v>30</v>
      </c>
      <c r="Y7">
        <v>5</v>
      </c>
      <c r="Z7">
        <v>31</v>
      </c>
      <c r="AA7">
        <v>7</v>
      </c>
      <c r="AB7" t="s">
        <v>186</v>
      </c>
      <c r="AC7" t="s">
        <v>187</v>
      </c>
      <c r="AD7" t="s">
        <v>185</v>
      </c>
      <c r="AE7" s="16" t="s">
        <v>190</v>
      </c>
      <c r="AF7">
        <v>87</v>
      </c>
    </row>
    <row r="8" spans="1:32" ht="28.8" x14ac:dyDescent="0.3">
      <c r="A8" s="2">
        <v>1303043</v>
      </c>
      <c r="B8" s="2">
        <v>7</v>
      </c>
      <c r="C8" s="26" t="s">
        <v>201</v>
      </c>
      <c r="D8" s="3">
        <v>38637</v>
      </c>
      <c r="E8" s="4" t="s">
        <v>19</v>
      </c>
      <c r="F8" s="5" t="s">
        <v>10</v>
      </c>
      <c r="G8" s="26" t="s">
        <v>219</v>
      </c>
      <c r="H8">
        <v>67</v>
      </c>
      <c r="I8">
        <v>18</v>
      </c>
      <c r="J8">
        <v>54</v>
      </c>
      <c r="K8">
        <v>17</v>
      </c>
      <c r="L8">
        <v>40</v>
      </c>
      <c r="M8">
        <v>9</v>
      </c>
      <c r="N8">
        <v>38</v>
      </c>
      <c r="O8">
        <v>8</v>
      </c>
      <c r="P8">
        <v>39</v>
      </c>
      <c r="Q8">
        <v>8</v>
      </c>
      <c r="R8">
        <v>32</v>
      </c>
      <c r="S8">
        <v>7</v>
      </c>
      <c r="T8">
        <v>36</v>
      </c>
      <c r="U8">
        <v>7</v>
      </c>
      <c r="V8">
        <v>39</v>
      </c>
      <c r="W8">
        <v>9</v>
      </c>
      <c r="X8">
        <v>35</v>
      </c>
      <c r="Y8">
        <v>8</v>
      </c>
      <c r="Z8">
        <v>33</v>
      </c>
      <c r="AA8">
        <v>7</v>
      </c>
      <c r="AB8" t="s">
        <v>185</v>
      </c>
      <c r="AC8" t="s">
        <v>186</v>
      </c>
      <c r="AD8" t="s">
        <v>187</v>
      </c>
      <c r="AE8" s="16" t="s">
        <v>188</v>
      </c>
      <c r="AF8">
        <v>96</v>
      </c>
    </row>
    <row r="9" spans="1:32" ht="43.2" x14ac:dyDescent="0.3">
      <c r="A9" s="2">
        <v>1303044</v>
      </c>
      <c r="B9" s="2">
        <v>8</v>
      </c>
      <c r="C9" s="26" t="s">
        <v>204</v>
      </c>
      <c r="D9" s="3">
        <v>38704</v>
      </c>
      <c r="E9" s="4" t="s">
        <v>21</v>
      </c>
      <c r="F9" s="5" t="s">
        <v>10</v>
      </c>
      <c r="G9" s="26" t="s">
        <v>220</v>
      </c>
      <c r="H9">
        <v>76</v>
      </c>
      <c r="I9">
        <v>19</v>
      </c>
      <c r="J9">
        <v>60</v>
      </c>
      <c r="K9">
        <v>19</v>
      </c>
      <c r="L9">
        <v>36</v>
      </c>
      <c r="M9">
        <v>6</v>
      </c>
      <c r="N9">
        <v>39</v>
      </c>
      <c r="O9">
        <v>8</v>
      </c>
      <c r="P9">
        <v>39</v>
      </c>
      <c r="Q9">
        <v>9</v>
      </c>
      <c r="R9">
        <v>37</v>
      </c>
      <c r="S9">
        <v>8</v>
      </c>
      <c r="T9">
        <v>40</v>
      </c>
      <c r="U9">
        <v>9</v>
      </c>
      <c r="V9">
        <v>37</v>
      </c>
      <c r="W9">
        <v>7</v>
      </c>
      <c r="X9">
        <v>33</v>
      </c>
      <c r="Y9">
        <v>6</v>
      </c>
      <c r="Z9">
        <v>40</v>
      </c>
      <c r="AA9">
        <v>9</v>
      </c>
      <c r="AB9" t="s">
        <v>186</v>
      </c>
      <c r="AC9" t="s">
        <v>185</v>
      </c>
      <c r="AD9" t="s">
        <v>186</v>
      </c>
      <c r="AE9" s="16" t="s">
        <v>189</v>
      </c>
      <c r="AF9">
        <v>90</v>
      </c>
    </row>
    <row r="10" spans="1:32" ht="28.8" x14ac:dyDescent="0.3">
      <c r="A10" s="2">
        <v>1303015</v>
      </c>
      <c r="B10" s="2">
        <v>9</v>
      </c>
      <c r="C10" s="26" t="s">
        <v>202</v>
      </c>
      <c r="D10" s="3">
        <v>38197</v>
      </c>
      <c r="E10" s="4" t="s">
        <v>22</v>
      </c>
      <c r="F10" s="5" t="s">
        <v>12</v>
      </c>
      <c r="G10" s="26" t="s">
        <v>221</v>
      </c>
      <c r="H10">
        <v>54</v>
      </c>
      <c r="I10">
        <v>14</v>
      </c>
      <c r="J10">
        <v>54</v>
      </c>
      <c r="K10">
        <v>14</v>
      </c>
      <c r="L10">
        <v>39</v>
      </c>
      <c r="M10">
        <v>7</v>
      </c>
      <c r="N10">
        <v>35</v>
      </c>
      <c r="O10">
        <v>6</v>
      </c>
      <c r="P10">
        <v>37</v>
      </c>
      <c r="Q10">
        <v>8</v>
      </c>
      <c r="R10">
        <v>39</v>
      </c>
      <c r="S10">
        <v>8</v>
      </c>
      <c r="T10">
        <v>33</v>
      </c>
      <c r="U10">
        <v>7</v>
      </c>
      <c r="V10">
        <v>32</v>
      </c>
      <c r="W10">
        <v>5</v>
      </c>
      <c r="X10">
        <v>30</v>
      </c>
      <c r="Y10">
        <v>5</v>
      </c>
      <c r="Z10">
        <v>31</v>
      </c>
      <c r="AA10">
        <v>7</v>
      </c>
      <c r="AB10" t="s">
        <v>186</v>
      </c>
      <c r="AC10" t="s">
        <v>187</v>
      </c>
      <c r="AD10" t="s">
        <v>185</v>
      </c>
      <c r="AE10" s="16" t="s">
        <v>190</v>
      </c>
      <c r="AF10">
        <v>87</v>
      </c>
    </row>
    <row r="11" spans="1:32" ht="28.8" x14ac:dyDescent="0.3">
      <c r="A11" s="2">
        <v>1303045</v>
      </c>
      <c r="B11" s="2">
        <v>10</v>
      </c>
      <c r="C11" s="26" t="s">
        <v>203</v>
      </c>
      <c r="D11" s="3">
        <v>38637</v>
      </c>
      <c r="E11" s="4" t="s">
        <v>23</v>
      </c>
      <c r="F11" s="5" t="s">
        <v>10</v>
      </c>
      <c r="G11" s="26" t="s">
        <v>222</v>
      </c>
      <c r="H11">
        <v>67</v>
      </c>
      <c r="I11">
        <v>18</v>
      </c>
      <c r="J11">
        <v>54</v>
      </c>
      <c r="K11">
        <v>17</v>
      </c>
      <c r="L11">
        <v>40</v>
      </c>
      <c r="M11">
        <v>9</v>
      </c>
      <c r="N11">
        <v>38</v>
      </c>
      <c r="O11">
        <v>8</v>
      </c>
      <c r="P11">
        <v>39</v>
      </c>
      <c r="Q11">
        <v>8</v>
      </c>
      <c r="R11">
        <v>32</v>
      </c>
      <c r="S11">
        <v>7</v>
      </c>
      <c r="T11">
        <v>36</v>
      </c>
      <c r="U11">
        <v>7</v>
      </c>
      <c r="V11">
        <v>39</v>
      </c>
      <c r="W11">
        <v>9</v>
      </c>
      <c r="X11">
        <v>35</v>
      </c>
      <c r="Y11">
        <v>8</v>
      </c>
      <c r="Z11">
        <v>33</v>
      </c>
      <c r="AA11">
        <v>7</v>
      </c>
      <c r="AB11" t="s">
        <v>185</v>
      </c>
      <c r="AC11" t="s">
        <v>186</v>
      </c>
      <c r="AD11" t="s">
        <v>187</v>
      </c>
      <c r="AE11" s="16" t="s">
        <v>188</v>
      </c>
      <c r="AF11">
        <v>96</v>
      </c>
    </row>
    <row r="12" spans="1:32" ht="43.2" x14ac:dyDescent="0.3">
      <c r="A12" s="2">
        <v>1303033</v>
      </c>
      <c r="B12" s="2">
        <v>11</v>
      </c>
      <c r="C12" s="26" t="s">
        <v>205</v>
      </c>
      <c r="D12" s="3">
        <v>38696</v>
      </c>
      <c r="E12" s="4" t="s">
        <v>24</v>
      </c>
      <c r="F12" s="5" t="s">
        <v>18</v>
      </c>
      <c r="G12" s="26" t="s">
        <v>223</v>
      </c>
      <c r="H12">
        <v>76</v>
      </c>
      <c r="I12">
        <v>19</v>
      </c>
      <c r="J12">
        <v>60</v>
      </c>
      <c r="K12">
        <v>19</v>
      </c>
      <c r="L12">
        <v>36</v>
      </c>
      <c r="M12">
        <v>6</v>
      </c>
      <c r="N12">
        <v>39</v>
      </c>
      <c r="O12">
        <v>8</v>
      </c>
      <c r="P12">
        <v>39</v>
      </c>
      <c r="Q12">
        <v>9</v>
      </c>
      <c r="R12">
        <v>37</v>
      </c>
      <c r="S12">
        <v>8</v>
      </c>
      <c r="T12">
        <v>40</v>
      </c>
      <c r="U12">
        <v>9</v>
      </c>
      <c r="V12">
        <v>37</v>
      </c>
      <c r="W12">
        <v>7</v>
      </c>
      <c r="X12">
        <v>33</v>
      </c>
      <c r="Y12">
        <v>6</v>
      </c>
      <c r="Z12">
        <v>40</v>
      </c>
      <c r="AA12">
        <v>9</v>
      </c>
      <c r="AB12" t="s">
        <v>186</v>
      </c>
      <c r="AC12" t="s">
        <v>185</v>
      </c>
      <c r="AD12" t="s">
        <v>186</v>
      </c>
      <c r="AE12" s="16" t="s">
        <v>189</v>
      </c>
      <c r="AF12">
        <v>90</v>
      </c>
    </row>
    <row r="13" spans="1:32" ht="28.8" x14ac:dyDescent="0.3">
      <c r="A13" s="2">
        <v>1303046</v>
      </c>
      <c r="B13" s="2">
        <v>12</v>
      </c>
      <c r="C13" s="26" t="s">
        <v>206</v>
      </c>
      <c r="D13" s="3">
        <v>38835</v>
      </c>
      <c r="E13" s="4" t="s">
        <v>25</v>
      </c>
      <c r="F13" s="5" t="s">
        <v>10</v>
      </c>
      <c r="G13" s="26" t="s">
        <v>224</v>
      </c>
      <c r="H13">
        <v>54</v>
      </c>
      <c r="I13">
        <v>14</v>
      </c>
      <c r="J13">
        <v>54</v>
      </c>
      <c r="K13">
        <v>14</v>
      </c>
      <c r="L13">
        <v>39</v>
      </c>
      <c r="M13">
        <v>7</v>
      </c>
      <c r="N13">
        <v>35</v>
      </c>
      <c r="O13">
        <v>6</v>
      </c>
      <c r="P13">
        <v>37</v>
      </c>
      <c r="Q13">
        <v>8</v>
      </c>
      <c r="R13">
        <v>39</v>
      </c>
      <c r="S13">
        <v>8</v>
      </c>
      <c r="T13">
        <v>33</v>
      </c>
      <c r="U13">
        <v>7</v>
      </c>
      <c r="V13">
        <v>32</v>
      </c>
      <c r="W13">
        <v>5</v>
      </c>
      <c r="X13">
        <v>30</v>
      </c>
      <c r="Y13">
        <v>5</v>
      </c>
      <c r="Z13">
        <v>31</v>
      </c>
      <c r="AA13">
        <v>7</v>
      </c>
      <c r="AB13" t="s">
        <v>186</v>
      </c>
      <c r="AC13" t="s">
        <v>187</v>
      </c>
      <c r="AD13" t="s">
        <v>185</v>
      </c>
      <c r="AE13" s="16" t="s">
        <v>190</v>
      </c>
      <c r="AF13">
        <v>87</v>
      </c>
    </row>
    <row r="14" spans="1:32" ht="28.8" x14ac:dyDescent="0.3">
      <c r="A14" s="2">
        <v>1303004</v>
      </c>
      <c r="B14" s="2">
        <v>13</v>
      </c>
      <c r="C14" s="26" t="s">
        <v>207</v>
      </c>
      <c r="D14" s="3">
        <v>38510</v>
      </c>
      <c r="E14" s="4" t="s">
        <v>26</v>
      </c>
      <c r="F14" s="5" t="s">
        <v>16</v>
      </c>
      <c r="G14" s="26" t="s">
        <v>225</v>
      </c>
      <c r="H14">
        <v>67</v>
      </c>
      <c r="I14">
        <v>18</v>
      </c>
      <c r="J14">
        <v>54</v>
      </c>
      <c r="K14">
        <v>17</v>
      </c>
      <c r="L14">
        <v>40</v>
      </c>
      <c r="M14">
        <v>9</v>
      </c>
      <c r="N14">
        <v>38</v>
      </c>
      <c r="O14">
        <v>8</v>
      </c>
      <c r="P14">
        <v>39</v>
      </c>
      <c r="Q14">
        <v>8</v>
      </c>
      <c r="R14">
        <v>32</v>
      </c>
      <c r="S14">
        <v>7</v>
      </c>
      <c r="T14">
        <v>36</v>
      </c>
      <c r="U14">
        <v>7</v>
      </c>
      <c r="V14">
        <v>39</v>
      </c>
      <c r="W14">
        <v>9</v>
      </c>
      <c r="X14">
        <v>35</v>
      </c>
      <c r="Y14">
        <v>8</v>
      </c>
      <c r="Z14">
        <v>33</v>
      </c>
      <c r="AA14">
        <v>7</v>
      </c>
      <c r="AB14" t="s">
        <v>185</v>
      </c>
      <c r="AC14" t="s">
        <v>186</v>
      </c>
      <c r="AD14" t="s">
        <v>187</v>
      </c>
      <c r="AE14" s="16" t="s">
        <v>188</v>
      </c>
      <c r="AF14">
        <v>96</v>
      </c>
    </row>
    <row r="15" spans="1:32" ht="43.2" x14ac:dyDescent="0.3">
      <c r="A15" s="2">
        <v>1303001</v>
      </c>
      <c r="B15" s="2">
        <v>14</v>
      </c>
      <c r="C15" s="26" t="s">
        <v>208</v>
      </c>
      <c r="D15" s="3">
        <v>38672</v>
      </c>
      <c r="E15" s="4" t="s">
        <v>27</v>
      </c>
      <c r="F15" s="5" t="s">
        <v>12</v>
      </c>
      <c r="G15" s="26" t="s">
        <v>226</v>
      </c>
      <c r="H15">
        <v>76</v>
      </c>
      <c r="I15">
        <v>19</v>
      </c>
      <c r="J15">
        <v>60</v>
      </c>
      <c r="K15">
        <v>19</v>
      </c>
      <c r="L15">
        <v>36</v>
      </c>
      <c r="M15">
        <v>6</v>
      </c>
      <c r="N15">
        <v>39</v>
      </c>
      <c r="O15">
        <v>8</v>
      </c>
      <c r="P15">
        <v>39</v>
      </c>
      <c r="Q15">
        <v>9</v>
      </c>
      <c r="R15">
        <v>37</v>
      </c>
      <c r="S15">
        <v>8</v>
      </c>
      <c r="T15">
        <v>40</v>
      </c>
      <c r="U15">
        <v>9</v>
      </c>
      <c r="V15">
        <v>37</v>
      </c>
      <c r="W15">
        <v>7</v>
      </c>
      <c r="X15">
        <v>33</v>
      </c>
      <c r="Y15">
        <v>6</v>
      </c>
      <c r="Z15">
        <v>40</v>
      </c>
      <c r="AA15">
        <v>9</v>
      </c>
      <c r="AB15" t="s">
        <v>186</v>
      </c>
      <c r="AC15" t="s">
        <v>185</v>
      </c>
      <c r="AD15" t="s">
        <v>186</v>
      </c>
      <c r="AE15" s="16" t="s">
        <v>189</v>
      </c>
      <c r="AF15">
        <v>90</v>
      </c>
    </row>
    <row r="16" spans="1:32" ht="28.8" x14ac:dyDescent="0.3">
      <c r="A16" s="2">
        <v>1303016</v>
      </c>
      <c r="B16" s="2">
        <v>15</v>
      </c>
      <c r="C16" s="26" t="s">
        <v>209</v>
      </c>
      <c r="D16" s="3">
        <v>38647</v>
      </c>
      <c r="E16" s="4" t="s">
        <v>28</v>
      </c>
      <c r="F16" s="5" t="s">
        <v>12</v>
      </c>
      <c r="G16" s="1" t="s">
        <v>29</v>
      </c>
      <c r="H16">
        <v>54</v>
      </c>
      <c r="I16">
        <v>14</v>
      </c>
      <c r="J16">
        <v>54</v>
      </c>
      <c r="K16">
        <v>14</v>
      </c>
      <c r="L16">
        <v>39</v>
      </c>
      <c r="M16">
        <v>7</v>
      </c>
      <c r="N16">
        <v>35</v>
      </c>
      <c r="O16">
        <v>6</v>
      </c>
      <c r="P16">
        <v>37</v>
      </c>
      <c r="Q16">
        <v>8</v>
      </c>
      <c r="R16">
        <v>39</v>
      </c>
      <c r="S16">
        <v>8</v>
      </c>
      <c r="T16">
        <v>33</v>
      </c>
      <c r="U16">
        <v>7</v>
      </c>
      <c r="V16">
        <v>32</v>
      </c>
      <c r="W16">
        <v>5</v>
      </c>
      <c r="X16">
        <v>30</v>
      </c>
      <c r="Y16">
        <v>5</v>
      </c>
      <c r="Z16">
        <v>31</v>
      </c>
      <c r="AA16">
        <v>7</v>
      </c>
      <c r="AB16" t="s">
        <v>186</v>
      </c>
      <c r="AC16" t="s">
        <v>187</v>
      </c>
      <c r="AD16" t="s">
        <v>185</v>
      </c>
      <c r="AE16" s="16" t="s">
        <v>190</v>
      </c>
      <c r="AF16">
        <v>87</v>
      </c>
    </row>
    <row r="17" spans="1:32" ht="28.8" x14ac:dyDescent="0.3">
      <c r="A17" s="2">
        <v>1303017</v>
      </c>
      <c r="B17" s="2">
        <v>16</v>
      </c>
      <c r="C17" s="26" t="s">
        <v>210</v>
      </c>
      <c r="D17" s="3">
        <v>37690</v>
      </c>
      <c r="E17" s="4" t="s">
        <v>30</v>
      </c>
      <c r="F17" s="5" t="s">
        <v>16</v>
      </c>
      <c r="G17" s="1" t="s">
        <v>31</v>
      </c>
      <c r="H17">
        <v>67</v>
      </c>
      <c r="I17">
        <v>18</v>
      </c>
      <c r="J17">
        <v>54</v>
      </c>
      <c r="K17">
        <v>17</v>
      </c>
      <c r="L17">
        <v>40</v>
      </c>
      <c r="M17">
        <v>9</v>
      </c>
      <c r="N17">
        <v>38</v>
      </c>
      <c r="O17">
        <v>8</v>
      </c>
      <c r="P17">
        <v>39</v>
      </c>
      <c r="Q17">
        <v>8</v>
      </c>
      <c r="R17">
        <v>32</v>
      </c>
      <c r="S17">
        <v>7</v>
      </c>
      <c r="T17">
        <v>36</v>
      </c>
      <c r="U17">
        <v>7</v>
      </c>
      <c r="V17">
        <v>39</v>
      </c>
      <c r="W17">
        <v>9</v>
      </c>
      <c r="X17">
        <v>35</v>
      </c>
      <c r="Y17">
        <v>8</v>
      </c>
      <c r="Z17">
        <v>33</v>
      </c>
      <c r="AA17">
        <v>7</v>
      </c>
      <c r="AB17" t="s">
        <v>185</v>
      </c>
      <c r="AC17" t="s">
        <v>186</v>
      </c>
      <c r="AD17" t="s">
        <v>187</v>
      </c>
      <c r="AE17" s="16" t="s">
        <v>188</v>
      </c>
      <c r="AF17">
        <v>96</v>
      </c>
    </row>
    <row r="18" spans="1:32" ht="28.8" x14ac:dyDescent="0.3">
      <c r="A18" s="2">
        <v>1303018</v>
      </c>
      <c r="B18" s="2">
        <v>17</v>
      </c>
      <c r="C18" s="26" t="s">
        <v>211</v>
      </c>
      <c r="D18" s="3">
        <v>38596</v>
      </c>
      <c r="E18" s="4" t="s">
        <v>32</v>
      </c>
      <c r="F18" s="5" t="s">
        <v>12</v>
      </c>
      <c r="G18" s="1" t="s">
        <v>33</v>
      </c>
      <c r="H18">
        <v>76</v>
      </c>
      <c r="I18">
        <v>19</v>
      </c>
      <c r="J18">
        <v>60</v>
      </c>
      <c r="K18">
        <v>19</v>
      </c>
      <c r="L18">
        <v>36</v>
      </c>
      <c r="M18">
        <v>6</v>
      </c>
      <c r="N18">
        <v>39</v>
      </c>
      <c r="O18">
        <v>8</v>
      </c>
      <c r="P18">
        <v>39</v>
      </c>
      <c r="Q18">
        <v>9</v>
      </c>
      <c r="R18">
        <v>37</v>
      </c>
      <c r="S18">
        <v>8</v>
      </c>
      <c r="T18">
        <v>40</v>
      </c>
      <c r="U18">
        <v>9</v>
      </c>
      <c r="V18">
        <v>37</v>
      </c>
      <c r="W18">
        <v>7</v>
      </c>
      <c r="X18">
        <v>33</v>
      </c>
      <c r="Y18">
        <v>6</v>
      </c>
      <c r="Z18">
        <v>40</v>
      </c>
      <c r="AA18">
        <v>9</v>
      </c>
      <c r="AB18" t="s">
        <v>186</v>
      </c>
      <c r="AC18" t="s">
        <v>187</v>
      </c>
      <c r="AD18" t="s">
        <v>185</v>
      </c>
      <c r="AE18" s="16" t="s">
        <v>190</v>
      </c>
      <c r="AF18">
        <v>87</v>
      </c>
    </row>
    <row r="19" spans="1:32" ht="28.8" x14ac:dyDescent="0.3">
      <c r="A19" s="2">
        <v>1303055</v>
      </c>
      <c r="B19" s="2">
        <v>18</v>
      </c>
      <c r="C19" s="26" t="s">
        <v>212</v>
      </c>
      <c r="D19" s="3">
        <v>38631</v>
      </c>
      <c r="E19" s="4" t="s">
        <v>34</v>
      </c>
      <c r="F19" s="5" t="s">
        <v>16</v>
      </c>
      <c r="G19" s="1" t="s">
        <v>35</v>
      </c>
      <c r="H19">
        <v>54</v>
      </c>
      <c r="I19">
        <v>14</v>
      </c>
      <c r="J19">
        <v>54</v>
      </c>
      <c r="K19">
        <v>14</v>
      </c>
      <c r="L19">
        <v>39</v>
      </c>
      <c r="M19">
        <v>7</v>
      </c>
      <c r="N19">
        <v>35</v>
      </c>
      <c r="O19">
        <v>6</v>
      </c>
      <c r="P19">
        <v>37</v>
      </c>
      <c r="Q19">
        <v>8</v>
      </c>
      <c r="R19">
        <v>39</v>
      </c>
      <c r="S19">
        <v>8</v>
      </c>
      <c r="T19">
        <v>33</v>
      </c>
      <c r="U19">
        <v>7</v>
      </c>
      <c r="V19">
        <v>32</v>
      </c>
      <c r="W19">
        <v>5</v>
      </c>
      <c r="X19">
        <v>30</v>
      </c>
      <c r="Y19">
        <v>5</v>
      </c>
      <c r="Z19">
        <v>31</v>
      </c>
      <c r="AA19">
        <v>7</v>
      </c>
      <c r="AB19" t="s">
        <v>185</v>
      </c>
      <c r="AC19" t="s">
        <v>186</v>
      </c>
      <c r="AD19" t="s">
        <v>187</v>
      </c>
      <c r="AE19" s="16" t="s">
        <v>188</v>
      </c>
      <c r="AF19">
        <v>96</v>
      </c>
    </row>
    <row r="20" spans="1:32" ht="28.8" x14ac:dyDescent="0.3">
      <c r="A20" s="2">
        <v>1303047</v>
      </c>
      <c r="B20" s="2">
        <v>19</v>
      </c>
      <c r="C20" s="26" t="s">
        <v>36</v>
      </c>
      <c r="D20" s="3">
        <v>38584</v>
      </c>
      <c r="E20" s="4" t="s">
        <v>37</v>
      </c>
      <c r="F20" s="5" t="s">
        <v>10</v>
      </c>
      <c r="G20" s="1" t="s">
        <v>38</v>
      </c>
      <c r="H20">
        <v>67</v>
      </c>
      <c r="I20">
        <v>18</v>
      </c>
      <c r="J20">
        <v>54</v>
      </c>
      <c r="K20">
        <v>17</v>
      </c>
      <c r="L20">
        <v>40</v>
      </c>
      <c r="M20">
        <v>9</v>
      </c>
      <c r="N20">
        <v>38</v>
      </c>
      <c r="O20">
        <v>8</v>
      </c>
      <c r="P20">
        <v>39</v>
      </c>
      <c r="Q20">
        <v>8</v>
      </c>
      <c r="R20">
        <v>32</v>
      </c>
      <c r="S20">
        <v>7</v>
      </c>
      <c r="T20">
        <v>36</v>
      </c>
      <c r="U20">
        <v>7</v>
      </c>
      <c r="V20">
        <v>39</v>
      </c>
      <c r="W20">
        <v>9</v>
      </c>
      <c r="X20">
        <v>35</v>
      </c>
      <c r="Y20">
        <v>8</v>
      </c>
      <c r="Z20">
        <v>33</v>
      </c>
      <c r="AA20">
        <v>7</v>
      </c>
      <c r="AB20" t="s">
        <v>185</v>
      </c>
      <c r="AC20" t="s">
        <v>186</v>
      </c>
      <c r="AD20" t="s">
        <v>187</v>
      </c>
      <c r="AE20" s="16" t="s">
        <v>188</v>
      </c>
      <c r="AF20">
        <v>96</v>
      </c>
    </row>
    <row r="21" spans="1:32" ht="28.8" x14ac:dyDescent="0.3">
      <c r="A21" s="2">
        <v>1303009</v>
      </c>
      <c r="B21" s="2">
        <v>20</v>
      </c>
      <c r="C21" s="1" t="s">
        <v>39</v>
      </c>
      <c r="D21" s="3">
        <v>38415</v>
      </c>
      <c r="E21" s="4" t="s">
        <v>40</v>
      </c>
      <c r="F21" s="5" t="s">
        <v>12</v>
      </c>
      <c r="G21" s="1" t="s">
        <v>41</v>
      </c>
      <c r="H21">
        <v>76</v>
      </c>
      <c r="I21">
        <v>19</v>
      </c>
      <c r="J21">
        <v>54</v>
      </c>
      <c r="K21">
        <v>15.5</v>
      </c>
      <c r="L21">
        <v>39.5</v>
      </c>
      <c r="M21">
        <v>8</v>
      </c>
      <c r="N21">
        <v>36.5</v>
      </c>
      <c r="O21">
        <v>7</v>
      </c>
      <c r="P21">
        <v>38</v>
      </c>
      <c r="Q21">
        <v>8</v>
      </c>
      <c r="R21">
        <v>35.5</v>
      </c>
      <c r="S21">
        <v>7.5</v>
      </c>
      <c r="T21">
        <v>34.5</v>
      </c>
      <c r="U21">
        <v>7</v>
      </c>
      <c r="V21">
        <v>35.5</v>
      </c>
      <c r="W21">
        <v>7</v>
      </c>
      <c r="X21">
        <v>32.5</v>
      </c>
      <c r="Y21">
        <v>6.5</v>
      </c>
      <c r="Z21">
        <v>32</v>
      </c>
      <c r="AA21">
        <v>7</v>
      </c>
      <c r="AB21" t="s">
        <v>185</v>
      </c>
      <c r="AC21" t="s">
        <v>186</v>
      </c>
      <c r="AD21" t="s">
        <v>187</v>
      </c>
      <c r="AE21" s="16" t="s">
        <v>188</v>
      </c>
      <c r="AF21">
        <v>96</v>
      </c>
    </row>
    <row r="22" spans="1:32" ht="28.8" x14ac:dyDescent="0.3">
      <c r="A22" s="2">
        <v>1303006</v>
      </c>
      <c r="B22" s="2">
        <v>21</v>
      </c>
      <c r="C22" s="1" t="s">
        <v>42</v>
      </c>
      <c r="D22" s="3">
        <v>38270</v>
      </c>
      <c r="E22" s="4" t="s">
        <v>43</v>
      </c>
      <c r="F22" s="5" t="s">
        <v>12</v>
      </c>
      <c r="G22" s="1" t="s">
        <v>44</v>
      </c>
      <c r="H22">
        <v>54</v>
      </c>
      <c r="I22">
        <v>14</v>
      </c>
      <c r="J22">
        <v>53.4</v>
      </c>
      <c r="K22">
        <v>15</v>
      </c>
      <c r="L22">
        <v>39.799999999999997</v>
      </c>
      <c r="M22">
        <v>8.1</v>
      </c>
      <c r="N22">
        <v>36.1</v>
      </c>
      <c r="O22">
        <v>6.8</v>
      </c>
      <c r="P22">
        <v>37.799999999999997</v>
      </c>
      <c r="Q22">
        <v>7.9</v>
      </c>
      <c r="R22">
        <v>35.700000000000003</v>
      </c>
      <c r="S22">
        <v>7.5</v>
      </c>
      <c r="T22">
        <v>33.799999999999997</v>
      </c>
      <c r="U22">
        <v>6.8</v>
      </c>
      <c r="V22">
        <v>35</v>
      </c>
      <c r="W22">
        <v>6.8</v>
      </c>
      <c r="X22">
        <v>32.200000000000003</v>
      </c>
      <c r="Y22">
        <v>6.4</v>
      </c>
      <c r="Z22">
        <v>31.1</v>
      </c>
      <c r="AA22">
        <v>6.8</v>
      </c>
      <c r="AB22" t="s">
        <v>186</v>
      </c>
      <c r="AC22" t="s">
        <v>187</v>
      </c>
      <c r="AD22" t="s">
        <v>185</v>
      </c>
      <c r="AE22" s="16" t="s">
        <v>190</v>
      </c>
      <c r="AF22">
        <v>96.9</v>
      </c>
    </row>
    <row r="23" spans="1:32" ht="28.8" x14ac:dyDescent="0.3">
      <c r="A23" s="2">
        <v>1303028</v>
      </c>
      <c r="B23" s="2">
        <v>22</v>
      </c>
      <c r="C23" s="1" t="s">
        <v>45</v>
      </c>
      <c r="D23" s="3">
        <v>38547</v>
      </c>
      <c r="E23" s="4" t="s">
        <v>46</v>
      </c>
      <c r="F23" s="5" t="s">
        <v>16</v>
      </c>
      <c r="G23" s="1" t="s">
        <v>47</v>
      </c>
      <c r="H23">
        <v>67</v>
      </c>
      <c r="I23">
        <v>18</v>
      </c>
      <c r="J23">
        <v>52.8</v>
      </c>
      <c r="K23">
        <v>14.5</v>
      </c>
      <c r="L23">
        <v>40.1</v>
      </c>
      <c r="M23">
        <v>8.1999999999999993</v>
      </c>
      <c r="N23">
        <v>35.700000000000003</v>
      </c>
      <c r="O23">
        <v>6.6</v>
      </c>
      <c r="P23">
        <v>37.6</v>
      </c>
      <c r="Q23">
        <v>7.8</v>
      </c>
      <c r="R23">
        <v>35.9</v>
      </c>
      <c r="S23">
        <v>7.5</v>
      </c>
      <c r="T23">
        <v>33.1</v>
      </c>
      <c r="U23">
        <v>6.6</v>
      </c>
      <c r="V23">
        <v>34.5</v>
      </c>
      <c r="W23">
        <v>6.6</v>
      </c>
      <c r="X23">
        <v>31.9</v>
      </c>
      <c r="Y23">
        <v>6.3</v>
      </c>
      <c r="Z23">
        <v>30.2</v>
      </c>
      <c r="AA23">
        <v>6.6</v>
      </c>
      <c r="AB23" t="s">
        <v>185</v>
      </c>
      <c r="AC23" t="s">
        <v>186</v>
      </c>
      <c r="AD23" t="s">
        <v>187</v>
      </c>
      <c r="AE23" s="16" t="s">
        <v>188</v>
      </c>
      <c r="AF23">
        <v>97.8</v>
      </c>
    </row>
    <row r="24" spans="1:32" ht="28.8" x14ac:dyDescent="0.3">
      <c r="A24" s="2">
        <v>1303012</v>
      </c>
      <c r="B24" s="2">
        <v>23</v>
      </c>
      <c r="C24" s="1" t="s">
        <v>48</v>
      </c>
      <c r="D24" s="3">
        <v>38336</v>
      </c>
      <c r="E24" s="4" t="s">
        <v>49</v>
      </c>
      <c r="F24" s="5" t="s">
        <v>12</v>
      </c>
      <c r="G24" s="1" t="s">
        <v>50</v>
      </c>
      <c r="H24">
        <v>76</v>
      </c>
      <c r="I24">
        <v>19</v>
      </c>
      <c r="J24">
        <v>52.2</v>
      </c>
      <c r="K24">
        <v>14</v>
      </c>
      <c r="L24">
        <v>40.4</v>
      </c>
      <c r="M24">
        <v>8.3000000000000007</v>
      </c>
      <c r="N24">
        <v>35.299999999999997</v>
      </c>
      <c r="O24">
        <v>6.4</v>
      </c>
      <c r="P24">
        <v>37.4</v>
      </c>
      <c r="Q24">
        <v>7.7</v>
      </c>
      <c r="R24">
        <v>36.1</v>
      </c>
      <c r="S24">
        <v>7.5</v>
      </c>
      <c r="T24">
        <v>32.4</v>
      </c>
      <c r="U24">
        <v>6.4</v>
      </c>
      <c r="V24">
        <v>34</v>
      </c>
      <c r="W24">
        <v>6.4</v>
      </c>
      <c r="X24">
        <v>31.6</v>
      </c>
      <c r="Y24">
        <v>6.2</v>
      </c>
      <c r="Z24">
        <v>29.3</v>
      </c>
      <c r="AA24">
        <v>6.4</v>
      </c>
      <c r="AB24" t="s">
        <v>185</v>
      </c>
      <c r="AC24" t="s">
        <v>186</v>
      </c>
      <c r="AD24" t="s">
        <v>187</v>
      </c>
      <c r="AE24" s="16" t="s">
        <v>188</v>
      </c>
      <c r="AF24">
        <v>98.7</v>
      </c>
    </row>
    <row r="25" spans="1:32" ht="28.8" x14ac:dyDescent="0.3">
      <c r="A25" s="2">
        <v>1303057</v>
      </c>
      <c r="B25" s="2">
        <v>24</v>
      </c>
      <c r="C25" s="1" t="s">
        <v>51</v>
      </c>
      <c r="D25" s="3">
        <v>38560</v>
      </c>
      <c r="E25" s="4" t="s">
        <v>52</v>
      </c>
      <c r="F25" s="5" t="s">
        <v>16</v>
      </c>
      <c r="G25" s="1" t="s">
        <v>53</v>
      </c>
      <c r="H25">
        <v>54</v>
      </c>
      <c r="I25">
        <v>14</v>
      </c>
      <c r="J25">
        <v>51.6</v>
      </c>
      <c r="K25">
        <v>13.5</v>
      </c>
      <c r="L25">
        <v>40.700000000000003</v>
      </c>
      <c r="M25">
        <v>8.4</v>
      </c>
      <c r="N25">
        <v>34.9</v>
      </c>
      <c r="O25">
        <v>6.2</v>
      </c>
      <c r="P25">
        <v>37.200000000000003</v>
      </c>
      <c r="Q25">
        <v>7.6</v>
      </c>
      <c r="R25">
        <v>36.299999999999997</v>
      </c>
      <c r="S25">
        <v>7.5</v>
      </c>
      <c r="T25">
        <v>31.7</v>
      </c>
      <c r="U25">
        <v>6.2</v>
      </c>
      <c r="V25">
        <v>33.5</v>
      </c>
      <c r="W25">
        <v>6.2</v>
      </c>
      <c r="X25">
        <v>31.3</v>
      </c>
      <c r="Y25">
        <v>6.1</v>
      </c>
      <c r="Z25">
        <v>28.4</v>
      </c>
      <c r="AA25">
        <v>6.2</v>
      </c>
      <c r="AB25" t="s">
        <v>185</v>
      </c>
      <c r="AC25" t="s">
        <v>186</v>
      </c>
      <c r="AD25" t="s">
        <v>187</v>
      </c>
      <c r="AE25" s="16" t="s">
        <v>188</v>
      </c>
      <c r="AF25">
        <v>99.6</v>
      </c>
    </row>
    <row r="26" spans="1:32" ht="28.8" x14ac:dyDescent="0.3">
      <c r="A26" s="2">
        <v>1303027</v>
      </c>
      <c r="B26" s="2">
        <v>25</v>
      </c>
      <c r="C26" s="1" t="s">
        <v>54</v>
      </c>
      <c r="D26" s="3">
        <v>38642</v>
      </c>
      <c r="E26" s="4" t="s">
        <v>55</v>
      </c>
      <c r="F26" s="5" t="s">
        <v>18</v>
      </c>
      <c r="G26" s="1" t="s">
        <v>56</v>
      </c>
      <c r="H26">
        <v>67</v>
      </c>
      <c r="I26">
        <v>18</v>
      </c>
      <c r="J26">
        <v>51</v>
      </c>
      <c r="K26">
        <v>13</v>
      </c>
      <c r="L26">
        <v>41</v>
      </c>
      <c r="M26">
        <v>8.5</v>
      </c>
      <c r="N26">
        <v>34.5</v>
      </c>
      <c r="O26">
        <v>6</v>
      </c>
      <c r="P26">
        <v>37</v>
      </c>
      <c r="Q26">
        <v>7.5</v>
      </c>
      <c r="R26">
        <v>36.5</v>
      </c>
      <c r="S26">
        <v>7.5</v>
      </c>
      <c r="T26">
        <v>31</v>
      </c>
      <c r="U26">
        <v>6</v>
      </c>
      <c r="V26">
        <v>33</v>
      </c>
      <c r="W26">
        <v>6</v>
      </c>
      <c r="X26">
        <v>31</v>
      </c>
      <c r="Y26">
        <v>6</v>
      </c>
      <c r="Z26">
        <v>27.5</v>
      </c>
      <c r="AA26">
        <v>6</v>
      </c>
      <c r="AB26" t="s">
        <v>186</v>
      </c>
      <c r="AC26" t="s">
        <v>187</v>
      </c>
      <c r="AD26" t="s">
        <v>185</v>
      </c>
      <c r="AE26" s="16" t="s">
        <v>190</v>
      </c>
      <c r="AF26">
        <v>100.5</v>
      </c>
    </row>
    <row r="27" spans="1:32" ht="28.8" x14ac:dyDescent="0.3">
      <c r="A27" s="2">
        <v>1303031</v>
      </c>
      <c r="B27" s="2">
        <v>26</v>
      </c>
      <c r="C27" s="1" t="s">
        <v>57</v>
      </c>
      <c r="D27" s="3">
        <v>38638</v>
      </c>
      <c r="E27" s="4" t="s">
        <v>58</v>
      </c>
      <c r="F27" s="5" t="s">
        <v>16</v>
      </c>
      <c r="G27" s="1" t="s">
        <v>59</v>
      </c>
      <c r="H27">
        <v>76</v>
      </c>
      <c r="I27">
        <v>19</v>
      </c>
      <c r="J27">
        <v>50.4</v>
      </c>
      <c r="K27">
        <v>12.5</v>
      </c>
      <c r="L27">
        <v>41.3</v>
      </c>
      <c r="M27">
        <v>8.6</v>
      </c>
      <c r="N27">
        <v>34.1</v>
      </c>
      <c r="O27">
        <v>5.8</v>
      </c>
      <c r="P27">
        <v>36.799999999999997</v>
      </c>
      <c r="Q27">
        <v>7.4</v>
      </c>
      <c r="R27">
        <v>36.700000000000003</v>
      </c>
      <c r="S27">
        <v>7.5</v>
      </c>
      <c r="T27">
        <v>30.3</v>
      </c>
      <c r="U27">
        <v>5.8</v>
      </c>
      <c r="V27">
        <v>32.5</v>
      </c>
      <c r="W27">
        <v>5.8</v>
      </c>
      <c r="X27">
        <v>30.7</v>
      </c>
      <c r="Y27">
        <v>5.9</v>
      </c>
      <c r="Z27">
        <v>26.6</v>
      </c>
      <c r="AA27">
        <v>5.8</v>
      </c>
      <c r="AB27" t="s">
        <v>185</v>
      </c>
      <c r="AC27" t="s">
        <v>186</v>
      </c>
      <c r="AD27" t="s">
        <v>187</v>
      </c>
      <c r="AE27" s="16" t="s">
        <v>188</v>
      </c>
      <c r="AF27">
        <v>101.4</v>
      </c>
    </row>
    <row r="28" spans="1:32" ht="28.8" x14ac:dyDescent="0.3">
      <c r="A28" s="2">
        <v>1303056</v>
      </c>
      <c r="B28" s="2">
        <v>27</v>
      </c>
      <c r="C28" s="1" t="s">
        <v>60</v>
      </c>
      <c r="D28" s="3">
        <v>38498</v>
      </c>
      <c r="E28" s="4" t="s">
        <v>61</v>
      </c>
      <c r="F28" s="5" t="s">
        <v>16</v>
      </c>
      <c r="G28" s="1" t="s">
        <v>62</v>
      </c>
      <c r="H28">
        <v>54</v>
      </c>
      <c r="I28">
        <v>14</v>
      </c>
      <c r="J28">
        <v>49.8</v>
      </c>
      <c r="K28">
        <v>12</v>
      </c>
      <c r="L28">
        <v>41.6</v>
      </c>
      <c r="M28">
        <v>8.6999999999999993</v>
      </c>
      <c r="N28">
        <v>33.700000000000003</v>
      </c>
      <c r="O28">
        <v>5.6</v>
      </c>
      <c r="P28">
        <v>36.6</v>
      </c>
      <c r="Q28">
        <v>7.3</v>
      </c>
      <c r="R28">
        <v>36.9</v>
      </c>
      <c r="S28">
        <v>7.5</v>
      </c>
      <c r="T28">
        <v>29.6</v>
      </c>
      <c r="U28">
        <v>5.6</v>
      </c>
      <c r="V28">
        <v>32</v>
      </c>
      <c r="W28">
        <v>5.6</v>
      </c>
      <c r="X28">
        <v>30.4</v>
      </c>
      <c r="Y28">
        <v>5.8</v>
      </c>
      <c r="Z28">
        <v>25.7</v>
      </c>
      <c r="AA28">
        <v>5.6</v>
      </c>
      <c r="AB28" t="s">
        <v>185</v>
      </c>
      <c r="AC28" t="s">
        <v>186</v>
      </c>
      <c r="AD28" t="s">
        <v>187</v>
      </c>
      <c r="AE28" s="16" t="s">
        <v>188</v>
      </c>
      <c r="AF28">
        <v>102.3</v>
      </c>
    </row>
    <row r="29" spans="1:32" ht="28.8" x14ac:dyDescent="0.3">
      <c r="A29" s="2">
        <v>1303035</v>
      </c>
      <c r="B29" s="2">
        <v>28</v>
      </c>
      <c r="C29" s="1" t="s">
        <v>63</v>
      </c>
      <c r="D29" s="3">
        <v>38342</v>
      </c>
      <c r="E29" s="4" t="s">
        <v>64</v>
      </c>
      <c r="F29" s="5" t="s">
        <v>18</v>
      </c>
      <c r="G29" s="1" t="s">
        <v>65</v>
      </c>
      <c r="H29">
        <v>67</v>
      </c>
      <c r="I29">
        <v>18</v>
      </c>
      <c r="J29">
        <v>49.2</v>
      </c>
      <c r="K29">
        <v>11.5</v>
      </c>
      <c r="L29">
        <v>41.9</v>
      </c>
      <c r="M29">
        <v>8.8000000000000007</v>
      </c>
      <c r="N29">
        <v>33.299999999999997</v>
      </c>
      <c r="O29">
        <v>5.4</v>
      </c>
      <c r="P29">
        <v>36.4</v>
      </c>
      <c r="Q29">
        <v>7.2</v>
      </c>
      <c r="R29">
        <v>37.1</v>
      </c>
      <c r="S29">
        <v>7.5</v>
      </c>
      <c r="T29">
        <v>28.9</v>
      </c>
      <c r="U29">
        <v>5.4</v>
      </c>
      <c r="V29">
        <v>31.5</v>
      </c>
      <c r="W29">
        <v>5.4</v>
      </c>
      <c r="X29">
        <v>30.1</v>
      </c>
      <c r="Y29">
        <v>5.7</v>
      </c>
      <c r="Z29">
        <v>24.8</v>
      </c>
      <c r="AA29">
        <v>5.4</v>
      </c>
      <c r="AB29" t="s">
        <v>185</v>
      </c>
      <c r="AC29" t="s">
        <v>186</v>
      </c>
      <c r="AD29" t="s">
        <v>187</v>
      </c>
      <c r="AE29" s="16" t="s">
        <v>188</v>
      </c>
      <c r="AF29">
        <v>103.2</v>
      </c>
    </row>
    <row r="30" spans="1:32" ht="28.8" x14ac:dyDescent="0.3">
      <c r="A30" s="2">
        <v>1303029</v>
      </c>
      <c r="B30" s="2">
        <v>29</v>
      </c>
      <c r="C30" s="1" t="s">
        <v>66</v>
      </c>
      <c r="D30" s="3">
        <v>38243</v>
      </c>
      <c r="E30" s="4" t="s">
        <v>67</v>
      </c>
      <c r="F30" s="5" t="s">
        <v>10</v>
      </c>
      <c r="G30" s="1" t="s">
        <v>20</v>
      </c>
      <c r="H30">
        <v>76</v>
      </c>
      <c r="I30">
        <v>19</v>
      </c>
      <c r="J30">
        <v>48.6</v>
      </c>
      <c r="K30">
        <v>11</v>
      </c>
      <c r="L30">
        <v>42.2</v>
      </c>
      <c r="M30">
        <v>8.9</v>
      </c>
      <c r="N30">
        <v>32.9</v>
      </c>
      <c r="O30">
        <v>5.2</v>
      </c>
      <c r="P30">
        <v>36.200000000000003</v>
      </c>
      <c r="Q30">
        <v>7.1</v>
      </c>
      <c r="R30">
        <v>37.299999999999997</v>
      </c>
      <c r="S30">
        <v>7.5</v>
      </c>
      <c r="T30">
        <v>28.2</v>
      </c>
      <c r="U30">
        <v>5.2</v>
      </c>
      <c r="V30">
        <v>31</v>
      </c>
      <c r="W30">
        <v>5.2</v>
      </c>
      <c r="X30">
        <v>29.8</v>
      </c>
      <c r="Y30">
        <v>5.6</v>
      </c>
      <c r="Z30">
        <v>23.9</v>
      </c>
      <c r="AA30">
        <v>5.2</v>
      </c>
      <c r="AB30" t="s">
        <v>186</v>
      </c>
      <c r="AC30" t="s">
        <v>187</v>
      </c>
      <c r="AD30" t="s">
        <v>185</v>
      </c>
      <c r="AE30" s="16" t="s">
        <v>190</v>
      </c>
      <c r="AF30">
        <v>104.1</v>
      </c>
    </row>
    <row r="31" spans="1:32" ht="28.8" x14ac:dyDescent="0.3">
      <c r="A31" s="2">
        <v>1303010</v>
      </c>
      <c r="B31" s="2">
        <v>30</v>
      </c>
      <c r="C31" s="1" t="s">
        <v>68</v>
      </c>
      <c r="D31" s="3">
        <v>38167</v>
      </c>
      <c r="E31" s="4" t="s">
        <v>69</v>
      </c>
      <c r="F31" s="5" t="s">
        <v>12</v>
      </c>
      <c r="G31" s="1" t="s">
        <v>70</v>
      </c>
      <c r="H31">
        <v>54</v>
      </c>
      <c r="I31">
        <v>14</v>
      </c>
      <c r="J31">
        <v>48</v>
      </c>
      <c r="K31">
        <v>10.5</v>
      </c>
      <c r="L31">
        <v>42.5</v>
      </c>
      <c r="M31">
        <v>9</v>
      </c>
      <c r="N31">
        <v>32.5</v>
      </c>
      <c r="O31">
        <v>5</v>
      </c>
      <c r="P31">
        <v>36</v>
      </c>
      <c r="Q31">
        <v>7</v>
      </c>
      <c r="R31">
        <v>37.5</v>
      </c>
      <c r="S31">
        <v>7.5</v>
      </c>
      <c r="T31">
        <v>27.5</v>
      </c>
      <c r="U31">
        <v>5</v>
      </c>
      <c r="V31">
        <v>30.5</v>
      </c>
      <c r="W31">
        <v>5</v>
      </c>
      <c r="X31">
        <v>29.5</v>
      </c>
      <c r="Y31">
        <v>5.5</v>
      </c>
      <c r="Z31">
        <v>23</v>
      </c>
      <c r="AA31">
        <v>5</v>
      </c>
      <c r="AB31" t="s">
        <v>185</v>
      </c>
      <c r="AC31" t="s">
        <v>186</v>
      </c>
      <c r="AD31" t="s">
        <v>187</v>
      </c>
      <c r="AE31" s="16" t="s">
        <v>188</v>
      </c>
      <c r="AF31">
        <v>105</v>
      </c>
    </row>
    <row r="32" spans="1:32" ht="28.8" x14ac:dyDescent="0.3">
      <c r="A32" s="2">
        <v>1303048</v>
      </c>
      <c r="B32" s="2">
        <v>31</v>
      </c>
      <c r="C32" s="1" t="s">
        <v>71</v>
      </c>
      <c r="D32" s="3">
        <v>38563</v>
      </c>
      <c r="E32" s="4" t="s">
        <v>72</v>
      </c>
      <c r="F32" s="5" t="s">
        <v>10</v>
      </c>
      <c r="G32" s="1" t="s">
        <v>73</v>
      </c>
      <c r="H32">
        <v>67</v>
      </c>
      <c r="I32">
        <v>18</v>
      </c>
      <c r="J32">
        <v>47.4</v>
      </c>
      <c r="K32">
        <v>10</v>
      </c>
      <c r="L32">
        <v>42.8</v>
      </c>
      <c r="M32">
        <v>9.1</v>
      </c>
      <c r="N32">
        <v>32.1</v>
      </c>
      <c r="O32">
        <v>4.8</v>
      </c>
      <c r="P32">
        <v>35.799999999999997</v>
      </c>
      <c r="Q32">
        <v>6.9</v>
      </c>
      <c r="R32">
        <v>37.700000000000003</v>
      </c>
      <c r="S32">
        <v>7.5</v>
      </c>
      <c r="T32">
        <v>26.8</v>
      </c>
      <c r="U32">
        <v>4.8</v>
      </c>
      <c r="V32">
        <v>30</v>
      </c>
      <c r="W32">
        <v>4.8</v>
      </c>
      <c r="X32">
        <v>29.2</v>
      </c>
      <c r="Y32">
        <v>5.4</v>
      </c>
      <c r="Z32">
        <v>22.1</v>
      </c>
      <c r="AA32">
        <v>4.8</v>
      </c>
      <c r="AB32" t="s">
        <v>185</v>
      </c>
      <c r="AC32" t="s">
        <v>186</v>
      </c>
      <c r="AD32" t="s">
        <v>187</v>
      </c>
      <c r="AE32" s="16" t="s">
        <v>188</v>
      </c>
      <c r="AF32">
        <v>105.9</v>
      </c>
    </row>
    <row r="33" spans="1:32" ht="28.8" x14ac:dyDescent="0.3">
      <c r="A33" s="2">
        <v>1303049</v>
      </c>
      <c r="B33" s="2">
        <v>32</v>
      </c>
      <c r="C33" s="1" t="s">
        <v>74</v>
      </c>
      <c r="D33" s="3">
        <v>38580</v>
      </c>
      <c r="E33" s="4" t="s">
        <v>75</v>
      </c>
      <c r="F33" s="5" t="s">
        <v>16</v>
      </c>
      <c r="G33" s="1" t="s">
        <v>76</v>
      </c>
      <c r="H33">
        <v>76</v>
      </c>
      <c r="I33">
        <v>19</v>
      </c>
      <c r="J33">
        <v>46.8</v>
      </c>
      <c r="K33">
        <v>9.5</v>
      </c>
      <c r="L33">
        <v>43.1</v>
      </c>
      <c r="M33">
        <v>9.1999999999999993</v>
      </c>
      <c r="N33">
        <v>31.7</v>
      </c>
      <c r="O33">
        <v>4.5999999999999996</v>
      </c>
      <c r="P33">
        <v>35.6</v>
      </c>
      <c r="Q33">
        <v>6.8</v>
      </c>
      <c r="R33">
        <v>37.9</v>
      </c>
      <c r="S33">
        <v>7.5</v>
      </c>
      <c r="T33">
        <v>26.1</v>
      </c>
      <c r="U33">
        <v>4.5999999999999996</v>
      </c>
      <c r="V33">
        <v>29.5</v>
      </c>
      <c r="W33">
        <v>4.5999999999999996</v>
      </c>
      <c r="X33">
        <v>28.9</v>
      </c>
      <c r="Y33">
        <v>5.3</v>
      </c>
      <c r="Z33">
        <v>21.2</v>
      </c>
      <c r="AA33">
        <v>4.5999999999999996</v>
      </c>
      <c r="AB33" t="s">
        <v>185</v>
      </c>
      <c r="AC33" t="s">
        <v>186</v>
      </c>
      <c r="AD33" t="s">
        <v>187</v>
      </c>
      <c r="AE33" s="16" t="s">
        <v>188</v>
      </c>
      <c r="AF33">
        <v>106.8</v>
      </c>
    </row>
    <row r="34" spans="1:32" ht="28.8" x14ac:dyDescent="0.3">
      <c r="A34" s="2">
        <v>1303019</v>
      </c>
      <c r="B34" s="2">
        <v>33</v>
      </c>
      <c r="C34" s="1" t="s">
        <v>77</v>
      </c>
      <c r="D34" s="3">
        <v>38117</v>
      </c>
      <c r="E34" s="4" t="s">
        <v>78</v>
      </c>
      <c r="F34" s="5" t="s">
        <v>18</v>
      </c>
      <c r="G34" s="1" t="s">
        <v>79</v>
      </c>
      <c r="H34">
        <v>54</v>
      </c>
      <c r="I34">
        <v>14</v>
      </c>
      <c r="J34">
        <v>46.2</v>
      </c>
      <c r="K34">
        <v>9</v>
      </c>
      <c r="L34">
        <v>43.4</v>
      </c>
      <c r="M34">
        <v>9.3000000000000007</v>
      </c>
      <c r="N34">
        <v>31.3</v>
      </c>
      <c r="O34">
        <v>4.4000000000000004</v>
      </c>
      <c r="P34">
        <v>35.4</v>
      </c>
      <c r="Q34">
        <v>6.7</v>
      </c>
      <c r="R34">
        <v>38.1</v>
      </c>
      <c r="S34">
        <v>7.5</v>
      </c>
      <c r="T34">
        <v>25.4</v>
      </c>
      <c r="U34">
        <v>4.4000000000000004</v>
      </c>
      <c r="V34">
        <v>29</v>
      </c>
      <c r="W34">
        <v>4.4000000000000004</v>
      </c>
      <c r="X34">
        <v>28.6</v>
      </c>
      <c r="Y34">
        <v>5.2</v>
      </c>
      <c r="Z34">
        <v>20.3</v>
      </c>
      <c r="AA34">
        <v>4.4000000000000004</v>
      </c>
      <c r="AB34" t="s">
        <v>186</v>
      </c>
      <c r="AC34" t="s">
        <v>187</v>
      </c>
      <c r="AD34" t="s">
        <v>185</v>
      </c>
      <c r="AE34" s="16" t="s">
        <v>190</v>
      </c>
      <c r="AF34">
        <v>107.7</v>
      </c>
    </row>
    <row r="35" spans="1:32" ht="28.8" x14ac:dyDescent="0.3">
      <c r="A35" s="2">
        <v>1303050</v>
      </c>
      <c r="B35" s="2">
        <v>34</v>
      </c>
      <c r="C35" s="1" t="s">
        <v>80</v>
      </c>
      <c r="D35" s="3">
        <v>38381</v>
      </c>
      <c r="E35" s="4" t="s">
        <v>81</v>
      </c>
      <c r="F35" s="5" t="s">
        <v>10</v>
      </c>
      <c r="G35" s="1" t="s">
        <v>82</v>
      </c>
      <c r="H35">
        <v>67</v>
      </c>
      <c r="I35">
        <v>18</v>
      </c>
      <c r="J35">
        <v>45.6</v>
      </c>
      <c r="K35">
        <v>8.5</v>
      </c>
      <c r="L35">
        <v>43.7</v>
      </c>
      <c r="M35">
        <v>9.4</v>
      </c>
      <c r="N35">
        <v>30.9</v>
      </c>
      <c r="O35">
        <v>4.2</v>
      </c>
      <c r="P35">
        <v>35.200000000000003</v>
      </c>
      <c r="Q35">
        <v>6.6</v>
      </c>
      <c r="R35">
        <v>38.299999999999997</v>
      </c>
      <c r="S35">
        <v>7.5</v>
      </c>
      <c r="T35">
        <v>24.7</v>
      </c>
      <c r="U35">
        <v>4.2</v>
      </c>
      <c r="V35">
        <v>28.5</v>
      </c>
      <c r="W35">
        <v>4.2</v>
      </c>
      <c r="X35">
        <v>28.3</v>
      </c>
      <c r="Y35">
        <v>5.0999999999999996</v>
      </c>
      <c r="Z35">
        <v>19.399999999999999</v>
      </c>
      <c r="AA35">
        <v>4.2</v>
      </c>
      <c r="AB35" t="s">
        <v>185</v>
      </c>
      <c r="AC35" t="s">
        <v>186</v>
      </c>
      <c r="AD35" t="s">
        <v>187</v>
      </c>
      <c r="AE35" s="16" t="s">
        <v>188</v>
      </c>
      <c r="AF35">
        <v>108.6</v>
      </c>
    </row>
    <row r="36" spans="1:32" ht="28.8" x14ac:dyDescent="0.3">
      <c r="A36" s="2">
        <v>1303008</v>
      </c>
      <c r="B36" s="2">
        <v>35</v>
      </c>
      <c r="C36" s="1" t="s">
        <v>83</v>
      </c>
      <c r="D36" s="3">
        <v>38766</v>
      </c>
      <c r="E36" s="4" t="s">
        <v>84</v>
      </c>
      <c r="F36" s="5" t="s">
        <v>12</v>
      </c>
      <c r="G36" s="1" t="s">
        <v>85</v>
      </c>
      <c r="H36">
        <v>76</v>
      </c>
      <c r="I36">
        <v>19</v>
      </c>
      <c r="J36">
        <v>45</v>
      </c>
      <c r="K36">
        <v>8</v>
      </c>
      <c r="L36">
        <v>44</v>
      </c>
      <c r="M36">
        <v>9.5</v>
      </c>
      <c r="N36">
        <v>30.5</v>
      </c>
      <c r="O36">
        <v>4</v>
      </c>
      <c r="P36">
        <v>35</v>
      </c>
      <c r="Q36">
        <v>6.5</v>
      </c>
      <c r="R36">
        <v>38.5</v>
      </c>
      <c r="S36">
        <v>7.5</v>
      </c>
      <c r="T36">
        <v>24</v>
      </c>
      <c r="U36">
        <v>3.9999999999999898</v>
      </c>
      <c r="V36">
        <v>28</v>
      </c>
      <c r="W36">
        <v>4</v>
      </c>
      <c r="X36">
        <v>28</v>
      </c>
      <c r="Y36">
        <v>5</v>
      </c>
      <c r="Z36">
        <v>18.5</v>
      </c>
      <c r="AA36">
        <v>3.9999999999999898</v>
      </c>
      <c r="AB36" t="s">
        <v>185</v>
      </c>
      <c r="AC36" t="s">
        <v>186</v>
      </c>
      <c r="AD36" t="s">
        <v>187</v>
      </c>
      <c r="AE36" s="16" t="s">
        <v>188</v>
      </c>
      <c r="AF36">
        <v>109.5</v>
      </c>
    </row>
    <row r="37" spans="1:32" ht="28.8" x14ac:dyDescent="0.3">
      <c r="A37" s="2">
        <v>1303020</v>
      </c>
      <c r="B37" s="2">
        <v>36</v>
      </c>
      <c r="C37" s="1" t="s">
        <v>86</v>
      </c>
      <c r="D37" s="3">
        <v>38281</v>
      </c>
      <c r="E37" s="4" t="s">
        <v>87</v>
      </c>
      <c r="F37" s="5" t="s">
        <v>18</v>
      </c>
      <c r="G37" s="1" t="s">
        <v>88</v>
      </c>
      <c r="H37">
        <v>54</v>
      </c>
      <c r="I37">
        <v>14</v>
      </c>
      <c r="J37">
        <v>44.4</v>
      </c>
      <c r="K37">
        <v>7.5</v>
      </c>
      <c r="L37">
        <v>44.3</v>
      </c>
      <c r="M37">
        <v>9.6</v>
      </c>
      <c r="N37">
        <v>30.1</v>
      </c>
      <c r="O37">
        <v>3.8</v>
      </c>
      <c r="P37">
        <v>34.799999999999997</v>
      </c>
      <c r="Q37">
        <v>6.4</v>
      </c>
      <c r="R37">
        <v>38.700000000000003</v>
      </c>
      <c r="S37">
        <v>7.5</v>
      </c>
      <c r="T37">
        <v>23.3</v>
      </c>
      <c r="U37">
        <v>3.7999999999999901</v>
      </c>
      <c r="V37">
        <v>27.5</v>
      </c>
      <c r="W37">
        <v>3.8</v>
      </c>
      <c r="X37">
        <v>27.7</v>
      </c>
      <c r="Y37">
        <v>4.9000000000000004</v>
      </c>
      <c r="Z37">
        <v>17.600000000000001</v>
      </c>
      <c r="AA37">
        <v>3.7999999999999901</v>
      </c>
      <c r="AB37" t="s">
        <v>185</v>
      </c>
      <c r="AC37" t="s">
        <v>186</v>
      </c>
      <c r="AD37" t="s">
        <v>187</v>
      </c>
      <c r="AE37" s="16" t="s">
        <v>188</v>
      </c>
      <c r="AF37">
        <v>110.4</v>
      </c>
    </row>
    <row r="38" spans="1:32" ht="28.8" x14ac:dyDescent="0.3">
      <c r="A38" s="2">
        <v>1303021</v>
      </c>
      <c r="B38" s="2">
        <v>37</v>
      </c>
      <c r="C38" s="1" t="s">
        <v>89</v>
      </c>
      <c r="D38" s="3">
        <v>38966</v>
      </c>
      <c r="E38" s="4" t="s">
        <v>90</v>
      </c>
      <c r="F38" s="5" t="s">
        <v>18</v>
      </c>
      <c r="G38" s="1" t="s">
        <v>91</v>
      </c>
      <c r="H38">
        <v>67</v>
      </c>
      <c r="I38">
        <v>18</v>
      </c>
      <c r="J38">
        <v>43.8</v>
      </c>
      <c r="K38">
        <v>7</v>
      </c>
      <c r="L38">
        <v>44.6</v>
      </c>
      <c r="M38">
        <v>9.6999999999999993</v>
      </c>
      <c r="N38">
        <v>29.7</v>
      </c>
      <c r="O38">
        <v>3.6</v>
      </c>
      <c r="P38">
        <v>34.6</v>
      </c>
      <c r="Q38">
        <v>6.3</v>
      </c>
      <c r="R38">
        <v>38.9</v>
      </c>
      <c r="S38">
        <v>7.5</v>
      </c>
      <c r="T38">
        <v>22.6</v>
      </c>
      <c r="U38">
        <v>3.5999999999999899</v>
      </c>
      <c r="V38">
        <v>27</v>
      </c>
      <c r="W38">
        <v>3.6</v>
      </c>
      <c r="X38">
        <v>27.4</v>
      </c>
      <c r="Y38">
        <v>4.8</v>
      </c>
      <c r="Z38">
        <v>16.7</v>
      </c>
      <c r="AA38">
        <v>3.5999999999999899</v>
      </c>
      <c r="AB38" t="s">
        <v>186</v>
      </c>
      <c r="AC38" t="s">
        <v>187</v>
      </c>
      <c r="AD38" t="s">
        <v>185</v>
      </c>
      <c r="AE38" s="16" t="s">
        <v>190</v>
      </c>
      <c r="AF38">
        <v>111.3</v>
      </c>
    </row>
    <row r="39" spans="1:32" ht="28.8" x14ac:dyDescent="0.3">
      <c r="A39" s="2">
        <v>1303040</v>
      </c>
      <c r="B39" s="2">
        <v>38</v>
      </c>
      <c r="C39" s="1" t="s">
        <v>92</v>
      </c>
      <c r="D39" s="3">
        <v>38194</v>
      </c>
      <c r="E39" s="4" t="s">
        <v>93</v>
      </c>
      <c r="F39" s="5" t="s">
        <v>10</v>
      </c>
      <c r="G39" s="1" t="s">
        <v>94</v>
      </c>
      <c r="H39">
        <v>76</v>
      </c>
      <c r="I39">
        <v>19</v>
      </c>
      <c r="J39">
        <v>43.2</v>
      </c>
      <c r="K39">
        <v>6.5</v>
      </c>
      <c r="L39">
        <v>44.9</v>
      </c>
      <c r="M39">
        <v>9.8000000000000007</v>
      </c>
      <c r="N39">
        <v>29.3</v>
      </c>
      <c r="O39">
        <v>3.4</v>
      </c>
      <c r="P39">
        <v>34.4</v>
      </c>
      <c r="Q39">
        <v>6.2</v>
      </c>
      <c r="R39">
        <v>39.1</v>
      </c>
      <c r="S39">
        <v>7.5</v>
      </c>
      <c r="T39">
        <v>21.9</v>
      </c>
      <c r="U39">
        <v>3.3999999999999901</v>
      </c>
      <c r="V39">
        <v>26.5</v>
      </c>
      <c r="W39">
        <v>3.4</v>
      </c>
      <c r="X39">
        <v>27.1</v>
      </c>
      <c r="Y39">
        <v>4.7</v>
      </c>
      <c r="Z39">
        <v>15.8</v>
      </c>
      <c r="AA39">
        <v>3.3999999999999901</v>
      </c>
      <c r="AB39" t="s">
        <v>185</v>
      </c>
      <c r="AC39" t="s">
        <v>186</v>
      </c>
      <c r="AD39" t="s">
        <v>187</v>
      </c>
      <c r="AE39" s="16" t="s">
        <v>188</v>
      </c>
      <c r="AF39">
        <v>112.2</v>
      </c>
    </row>
    <row r="40" spans="1:32" ht="28.8" x14ac:dyDescent="0.3">
      <c r="A40" s="2">
        <v>1303022</v>
      </c>
      <c r="B40" s="2">
        <v>39</v>
      </c>
      <c r="C40" s="1" t="s">
        <v>95</v>
      </c>
      <c r="D40" s="3">
        <v>38655</v>
      </c>
      <c r="E40" s="4" t="s">
        <v>96</v>
      </c>
      <c r="F40" s="5" t="s">
        <v>18</v>
      </c>
      <c r="G40" s="1" t="s">
        <v>65</v>
      </c>
      <c r="H40">
        <v>54</v>
      </c>
      <c r="I40">
        <v>14</v>
      </c>
      <c r="J40">
        <v>42.6</v>
      </c>
      <c r="K40">
        <v>6</v>
      </c>
      <c r="L40">
        <v>45.2</v>
      </c>
      <c r="M40">
        <v>9.9</v>
      </c>
      <c r="N40">
        <v>28.9</v>
      </c>
      <c r="O40">
        <v>3.2</v>
      </c>
      <c r="P40">
        <v>34.200000000000003</v>
      </c>
      <c r="Q40">
        <v>6.1</v>
      </c>
      <c r="R40">
        <v>39.299999999999997</v>
      </c>
      <c r="S40">
        <v>7.5</v>
      </c>
      <c r="T40">
        <v>21.2</v>
      </c>
      <c r="U40">
        <v>3.19999999999999</v>
      </c>
      <c r="V40">
        <v>26</v>
      </c>
      <c r="W40">
        <v>3.2</v>
      </c>
      <c r="X40">
        <v>26.8</v>
      </c>
      <c r="Y40">
        <v>4.5999999999999996</v>
      </c>
      <c r="Z40">
        <v>14.9</v>
      </c>
      <c r="AA40">
        <v>3.19999999999999</v>
      </c>
      <c r="AB40" t="s">
        <v>185</v>
      </c>
      <c r="AC40" t="s">
        <v>186</v>
      </c>
      <c r="AD40" t="s">
        <v>187</v>
      </c>
      <c r="AE40" s="16" t="s">
        <v>188</v>
      </c>
      <c r="AF40">
        <v>113.1</v>
      </c>
    </row>
    <row r="41" spans="1:32" ht="28.8" x14ac:dyDescent="0.3">
      <c r="A41" s="2">
        <v>1303030</v>
      </c>
      <c r="B41" s="2">
        <v>40</v>
      </c>
      <c r="C41" s="1" t="s">
        <v>97</v>
      </c>
      <c r="D41" s="3">
        <v>38515</v>
      </c>
      <c r="E41" s="4" t="s">
        <v>98</v>
      </c>
      <c r="F41" s="5" t="s">
        <v>16</v>
      </c>
      <c r="G41" s="1" t="s">
        <v>99</v>
      </c>
      <c r="H41">
        <v>67</v>
      </c>
      <c r="I41">
        <v>18</v>
      </c>
      <c r="J41">
        <v>42</v>
      </c>
      <c r="K41">
        <v>5.5</v>
      </c>
      <c r="L41">
        <v>45.5</v>
      </c>
      <c r="M41">
        <v>10</v>
      </c>
      <c r="N41">
        <v>28.5</v>
      </c>
      <c r="O41">
        <v>3</v>
      </c>
      <c r="P41">
        <v>34</v>
      </c>
      <c r="Q41">
        <v>6</v>
      </c>
      <c r="R41">
        <v>39.5</v>
      </c>
      <c r="S41">
        <v>7.5</v>
      </c>
      <c r="T41">
        <v>20.5</v>
      </c>
      <c r="U41">
        <v>2.9999999999999898</v>
      </c>
      <c r="V41">
        <v>25.5</v>
      </c>
      <c r="W41">
        <v>3</v>
      </c>
      <c r="X41">
        <v>26.5</v>
      </c>
      <c r="Y41">
        <v>4.5</v>
      </c>
      <c r="Z41">
        <v>14</v>
      </c>
      <c r="AA41">
        <v>2.9999999999999898</v>
      </c>
      <c r="AB41" t="s">
        <v>185</v>
      </c>
      <c r="AC41" t="s">
        <v>186</v>
      </c>
      <c r="AD41" t="s">
        <v>187</v>
      </c>
      <c r="AE41" s="16" t="s">
        <v>188</v>
      </c>
      <c r="AF41">
        <v>114</v>
      </c>
    </row>
    <row r="42" spans="1:32" ht="28.8" x14ac:dyDescent="0.3">
      <c r="A42" s="2">
        <v>1303032</v>
      </c>
      <c r="B42" s="2">
        <v>41</v>
      </c>
      <c r="C42" s="1" t="s">
        <v>100</v>
      </c>
      <c r="D42" s="3">
        <v>38510</v>
      </c>
      <c r="E42" s="4" t="s">
        <v>101</v>
      </c>
      <c r="F42" s="5" t="s">
        <v>18</v>
      </c>
      <c r="G42" s="1" t="s">
        <v>91</v>
      </c>
      <c r="H42">
        <v>76</v>
      </c>
      <c r="I42">
        <v>19</v>
      </c>
      <c r="J42">
        <v>41.4</v>
      </c>
      <c r="K42">
        <v>5</v>
      </c>
      <c r="L42">
        <v>45.8</v>
      </c>
      <c r="M42">
        <v>10.1</v>
      </c>
      <c r="N42">
        <v>28.1</v>
      </c>
      <c r="O42">
        <v>2.8</v>
      </c>
      <c r="P42">
        <v>33.799999999999997</v>
      </c>
      <c r="Q42">
        <v>5.9</v>
      </c>
      <c r="R42">
        <v>39.700000000000003</v>
      </c>
      <c r="S42">
        <v>7.5</v>
      </c>
      <c r="T42">
        <v>19.8</v>
      </c>
      <c r="U42">
        <v>2.7999999999999901</v>
      </c>
      <c r="V42">
        <v>25</v>
      </c>
      <c r="W42">
        <v>2.8</v>
      </c>
      <c r="X42">
        <v>26.2</v>
      </c>
      <c r="Y42">
        <v>4.4000000000000004</v>
      </c>
      <c r="Z42">
        <v>13.1</v>
      </c>
      <c r="AA42">
        <v>2.7999999999999901</v>
      </c>
      <c r="AB42" t="s">
        <v>186</v>
      </c>
      <c r="AC42" t="s">
        <v>187</v>
      </c>
      <c r="AD42" t="s">
        <v>185</v>
      </c>
      <c r="AE42" s="16" t="s">
        <v>190</v>
      </c>
      <c r="AF42">
        <v>114.9</v>
      </c>
    </row>
    <row r="43" spans="1:32" ht="28.8" x14ac:dyDescent="0.3">
      <c r="A43" s="2">
        <v>1303042</v>
      </c>
      <c r="B43" s="2">
        <v>42</v>
      </c>
      <c r="C43" s="1" t="s">
        <v>102</v>
      </c>
      <c r="D43" s="3">
        <v>38340</v>
      </c>
      <c r="E43" s="4" t="s">
        <v>103</v>
      </c>
      <c r="F43" s="5" t="s">
        <v>10</v>
      </c>
      <c r="G43" s="1" t="s">
        <v>104</v>
      </c>
      <c r="H43">
        <v>54</v>
      </c>
      <c r="I43">
        <v>14</v>
      </c>
      <c r="J43">
        <v>40.799999999999997</v>
      </c>
      <c r="K43">
        <v>4.5</v>
      </c>
      <c r="L43">
        <v>46.1</v>
      </c>
      <c r="M43">
        <v>10.199999999999999</v>
      </c>
      <c r="N43">
        <v>27.7</v>
      </c>
      <c r="O43">
        <v>2.6</v>
      </c>
      <c r="P43">
        <v>33.6</v>
      </c>
      <c r="Q43">
        <v>5.8</v>
      </c>
      <c r="R43">
        <v>39.9</v>
      </c>
      <c r="S43">
        <v>7.5</v>
      </c>
      <c r="T43">
        <v>19.100000000000001</v>
      </c>
      <c r="U43">
        <v>2.5999999999999899</v>
      </c>
      <c r="V43">
        <v>24.5</v>
      </c>
      <c r="W43">
        <v>2.6</v>
      </c>
      <c r="X43">
        <v>25.9</v>
      </c>
      <c r="Y43">
        <v>4.3</v>
      </c>
      <c r="Z43">
        <v>12.2</v>
      </c>
      <c r="AA43">
        <v>2.5999999999999899</v>
      </c>
      <c r="AB43" t="s">
        <v>185</v>
      </c>
      <c r="AC43" t="s">
        <v>186</v>
      </c>
      <c r="AD43" t="s">
        <v>187</v>
      </c>
      <c r="AE43" s="16" t="s">
        <v>188</v>
      </c>
      <c r="AF43">
        <v>115.8</v>
      </c>
    </row>
    <row r="44" spans="1:32" ht="28.8" x14ac:dyDescent="0.3">
      <c r="A44" s="2">
        <v>1303039</v>
      </c>
      <c r="B44" s="2">
        <v>43</v>
      </c>
      <c r="C44" s="1" t="s">
        <v>105</v>
      </c>
      <c r="D44" s="3">
        <v>38746</v>
      </c>
      <c r="E44" s="4" t="s">
        <v>106</v>
      </c>
      <c r="F44" s="5" t="s">
        <v>10</v>
      </c>
      <c r="G44" s="1" t="s">
        <v>107</v>
      </c>
      <c r="H44">
        <v>67</v>
      </c>
      <c r="I44">
        <v>18</v>
      </c>
      <c r="J44">
        <v>40.200000000000003</v>
      </c>
      <c r="K44">
        <v>4</v>
      </c>
      <c r="L44">
        <v>46.4</v>
      </c>
      <c r="M44">
        <v>10.3</v>
      </c>
      <c r="N44">
        <v>27.3</v>
      </c>
      <c r="O44">
        <v>2.4</v>
      </c>
      <c r="P44">
        <v>33.4</v>
      </c>
      <c r="Q44">
        <v>5.7</v>
      </c>
      <c r="R44">
        <v>40.1</v>
      </c>
      <c r="S44">
        <v>7.5</v>
      </c>
      <c r="T44">
        <v>18.399999999999999</v>
      </c>
      <c r="U44">
        <v>2.3999999999999901</v>
      </c>
      <c r="V44">
        <v>24</v>
      </c>
      <c r="W44">
        <v>2.4</v>
      </c>
      <c r="X44">
        <v>25.6</v>
      </c>
      <c r="Y44">
        <v>4.2</v>
      </c>
      <c r="Z44">
        <v>11.3</v>
      </c>
      <c r="AA44">
        <v>2.3999999999999901</v>
      </c>
      <c r="AB44" t="s">
        <v>185</v>
      </c>
      <c r="AC44" t="s">
        <v>186</v>
      </c>
      <c r="AD44" t="s">
        <v>187</v>
      </c>
      <c r="AE44" s="16" t="s">
        <v>188</v>
      </c>
      <c r="AF44">
        <v>116.7</v>
      </c>
    </row>
    <row r="45" spans="1:32" ht="28.8" x14ac:dyDescent="0.3">
      <c r="A45" s="2">
        <v>1303014</v>
      </c>
      <c r="B45" s="2">
        <v>44</v>
      </c>
      <c r="C45" s="1" t="s">
        <v>108</v>
      </c>
      <c r="D45" s="3">
        <v>38814</v>
      </c>
      <c r="E45" s="4" t="s">
        <v>109</v>
      </c>
      <c r="F45" s="5" t="s">
        <v>12</v>
      </c>
      <c r="G45" s="1" t="s">
        <v>110</v>
      </c>
      <c r="H45">
        <v>76</v>
      </c>
      <c r="I45">
        <v>19</v>
      </c>
      <c r="J45">
        <v>39.6</v>
      </c>
      <c r="K45">
        <v>3.5</v>
      </c>
      <c r="L45">
        <v>46.7</v>
      </c>
      <c r="M45">
        <v>10.4</v>
      </c>
      <c r="N45">
        <v>26.9</v>
      </c>
      <c r="O45">
        <v>2.2000000000000002</v>
      </c>
      <c r="P45">
        <v>33.200000000000003</v>
      </c>
      <c r="Q45">
        <v>5.6</v>
      </c>
      <c r="R45">
        <v>40.299999999999997</v>
      </c>
      <c r="S45">
        <v>7.5</v>
      </c>
      <c r="T45">
        <v>17.7</v>
      </c>
      <c r="U45">
        <v>2.19999999999999</v>
      </c>
      <c r="V45">
        <v>23.5</v>
      </c>
      <c r="W45">
        <v>2.2000000000000002</v>
      </c>
      <c r="X45">
        <v>25.3</v>
      </c>
      <c r="Y45">
        <v>4.0999999999999996</v>
      </c>
      <c r="Z45">
        <v>10.4</v>
      </c>
      <c r="AA45">
        <v>2.19999999999999</v>
      </c>
      <c r="AB45" t="s">
        <v>185</v>
      </c>
      <c r="AC45" t="s">
        <v>186</v>
      </c>
      <c r="AD45" t="s">
        <v>187</v>
      </c>
      <c r="AE45" s="16" t="s">
        <v>188</v>
      </c>
      <c r="AF45">
        <v>117.6</v>
      </c>
    </row>
    <row r="46" spans="1:32" ht="28.8" x14ac:dyDescent="0.3">
      <c r="A46" s="2">
        <v>1303053</v>
      </c>
      <c r="B46" s="2">
        <v>45</v>
      </c>
      <c r="C46" s="1" t="s">
        <v>111</v>
      </c>
      <c r="D46" s="3">
        <v>38576</v>
      </c>
      <c r="E46" s="4" t="s">
        <v>112</v>
      </c>
      <c r="F46" s="5" t="s">
        <v>16</v>
      </c>
      <c r="G46" s="1" t="s">
        <v>113</v>
      </c>
      <c r="H46">
        <v>54</v>
      </c>
      <c r="I46">
        <v>14</v>
      </c>
      <c r="J46">
        <v>39</v>
      </c>
      <c r="K46">
        <v>3</v>
      </c>
      <c r="L46">
        <v>47</v>
      </c>
      <c r="M46">
        <v>10.5</v>
      </c>
      <c r="N46">
        <v>26.5</v>
      </c>
      <c r="O46">
        <v>2</v>
      </c>
      <c r="P46">
        <v>33</v>
      </c>
      <c r="Q46">
        <v>5.5</v>
      </c>
      <c r="R46">
        <v>40.5</v>
      </c>
      <c r="S46">
        <v>7.5</v>
      </c>
      <c r="T46">
        <v>17</v>
      </c>
      <c r="U46">
        <v>1.99999999999999</v>
      </c>
      <c r="V46">
        <v>23</v>
      </c>
      <c r="W46">
        <v>2</v>
      </c>
      <c r="X46">
        <v>25</v>
      </c>
      <c r="Y46">
        <v>4</v>
      </c>
      <c r="Z46">
        <v>9.5</v>
      </c>
      <c r="AA46">
        <v>1.99999999999999</v>
      </c>
      <c r="AB46" t="s">
        <v>186</v>
      </c>
      <c r="AC46" t="s">
        <v>187</v>
      </c>
      <c r="AD46" t="s">
        <v>185</v>
      </c>
      <c r="AE46" s="16" t="s">
        <v>190</v>
      </c>
      <c r="AF46">
        <v>118.5</v>
      </c>
    </row>
    <row r="47" spans="1:32" ht="28.8" x14ac:dyDescent="0.3">
      <c r="A47" s="2">
        <v>1303025</v>
      </c>
      <c r="B47" s="2">
        <v>46</v>
      </c>
      <c r="C47" s="1" t="s">
        <v>114</v>
      </c>
      <c r="D47" s="3">
        <v>38655</v>
      </c>
      <c r="E47" s="4" t="s">
        <v>115</v>
      </c>
      <c r="F47" s="5" t="s">
        <v>18</v>
      </c>
      <c r="G47" s="1" t="s">
        <v>116</v>
      </c>
      <c r="H47">
        <v>67</v>
      </c>
      <c r="I47">
        <v>18</v>
      </c>
      <c r="J47">
        <v>38.4</v>
      </c>
      <c r="K47">
        <v>2.5</v>
      </c>
      <c r="L47">
        <v>47.3</v>
      </c>
      <c r="M47">
        <v>10.6</v>
      </c>
      <c r="N47">
        <v>26.1</v>
      </c>
      <c r="O47">
        <v>1.8</v>
      </c>
      <c r="P47">
        <v>32.799999999999997</v>
      </c>
      <c r="Q47">
        <v>5.4</v>
      </c>
      <c r="R47">
        <v>40.700000000000003</v>
      </c>
      <c r="S47">
        <v>7.5</v>
      </c>
      <c r="T47">
        <v>16.3</v>
      </c>
      <c r="U47">
        <v>1.7999999999999901</v>
      </c>
      <c r="V47">
        <v>22.5</v>
      </c>
      <c r="W47">
        <v>1.8</v>
      </c>
      <c r="X47">
        <v>24.7</v>
      </c>
      <c r="Y47">
        <v>3.9</v>
      </c>
      <c r="Z47">
        <v>8.6</v>
      </c>
      <c r="AA47">
        <v>1.7999999999999901</v>
      </c>
      <c r="AB47" t="s">
        <v>185</v>
      </c>
      <c r="AC47" t="s">
        <v>186</v>
      </c>
      <c r="AD47" t="s">
        <v>187</v>
      </c>
      <c r="AE47" s="16" t="s">
        <v>188</v>
      </c>
      <c r="AF47">
        <v>119.4</v>
      </c>
    </row>
    <row r="48" spans="1:32" ht="28.8" x14ac:dyDescent="0.3">
      <c r="A48" s="2">
        <v>1303026</v>
      </c>
      <c r="B48" s="2">
        <v>47</v>
      </c>
      <c r="C48" s="1" t="s">
        <v>117</v>
      </c>
      <c r="D48" s="3">
        <v>38755</v>
      </c>
      <c r="E48" s="4" t="s">
        <v>118</v>
      </c>
      <c r="F48" s="5" t="s">
        <v>18</v>
      </c>
      <c r="G48" s="1" t="s">
        <v>119</v>
      </c>
      <c r="H48">
        <v>76</v>
      </c>
      <c r="I48">
        <v>19</v>
      </c>
      <c r="J48">
        <v>37.799999999999997</v>
      </c>
      <c r="K48">
        <v>2</v>
      </c>
      <c r="L48">
        <v>47.6</v>
      </c>
      <c r="M48">
        <v>10.7</v>
      </c>
      <c r="N48">
        <v>25.7</v>
      </c>
      <c r="O48">
        <v>1.6</v>
      </c>
      <c r="P48">
        <v>32.6</v>
      </c>
      <c r="Q48">
        <v>5.3</v>
      </c>
      <c r="R48">
        <v>40.9</v>
      </c>
      <c r="S48">
        <v>7.5</v>
      </c>
      <c r="T48">
        <v>15.6</v>
      </c>
      <c r="U48">
        <v>1.5999999999999901</v>
      </c>
      <c r="V48">
        <v>22</v>
      </c>
      <c r="W48">
        <v>1.6</v>
      </c>
      <c r="X48">
        <v>24.4</v>
      </c>
      <c r="Y48">
        <v>3.8</v>
      </c>
      <c r="Z48">
        <v>7.7</v>
      </c>
      <c r="AA48">
        <v>1.5999999999999901</v>
      </c>
      <c r="AB48" t="s">
        <v>185</v>
      </c>
      <c r="AC48" t="s">
        <v>186</v>
      </c>
      <c r="AD48" t="s">
        <v>187</v>
      </c>
      <c r="AE48" s="16" t="s">
        <v>188</v>
      </c>
      <c r="AF48">
        <v>120.3</v>
      </c>
    </row>
    <row r="49" spans="1:32" ht="28.8" x14ac:dyDescent="0.3">
      <c r="A49" s="2">
        <v>1303054</v>
      </c>
      <c r="B49" s="2">
        <v>48</v>
      </c>
      <c r="C49" s="1" t="s">
        <v>120</v>
      </c>
      <c r="D49" s="3">
        <v>38468</v>
      </c>
      <c r="E49" s="4" t="s">
        <v>121</v>
      </c>
      <c r="F49" s="5" t="s">
        <v>16</v>
      </c>
      <c r="G49" s="1" t="s">
        <v>122</v>
      </c>
      <c r="H49">
        <v>54</v>
      </c>
      <c r="I49">
        <v>14</v>
      </c>
      <c r="J49">
        <v>37.200000000000003</v>
      </c>
      <c r="K49">
        <v>1.5</v>
      </c>
      <c r="L49">
        <v>47.9</v>
      </c>
      <c r="M49">
        <v>10.8</v>
      </c>
      <c r="N49">
        <v>25.3</v>
      </c>
      <c r="O49">
        <v>1.4</v>
      </c>
      <c r="P49">
        <v>32.4</v>
      </c>
      <c r="Q49">
        <v>5.2</v>
      </c>
      <c r="R49">
        <v>41.1</v>
      </c>
      <c r="S49">
        <v>7.5</v>
      </c>
      <c r="T49">
        <v>14.9</v>
      </c>
      <c r="U49">
        <v>1.3999999999999899</v>
      </c>
      <c r="V49">
        <v>21.5</v>
      </c>
      <c r="W49">
        <v>1.4</v>
      </c>
      <c r="X49">
        <v>24.1</v>
      </c>
      <c r="Y49">
        <v>3.7</v>
      </c>
      <c r="Z49">
        <v>6.8</v>
      </c>
      <c r="AA49">
        <v>1.3999999999999899</v>
      </c>
      <c r="AB49" t="s">
        <v>185</v>
      </c>
      <c r="AC49" t="s">
        <v>186</v>
      </c>
      <c r="AD49" t="s">
        <v>187</v>
      </c>
      <c r="AE49" s="16" t="s">
        <v>188</v>
      </c>
      <c r="AF49">
        <v>121.2</v>
      </c>
    </row>
    <row r="50" spans="1:32" ht="28.8" x14ac:dyDescent="0.3">
      <c r="A50" s="2">
        <v>1303036</v>
      </c>
      <c r="B50" s="2">
        <v>49</v>
      </c>
      <c r="C50" s="1" t="s">
        <v>123</v>
      </c>
      <c r="D50" s="3">
        <v>38601</v>
      </c>
      <c r="E50" s="4" t="s">
        <v>124</v>
      </c>
      <c r="F50" s="5" t="s">
        <v>16</v>
      </c>
      <c r="G50" s="1" t="s">
        <v>125</v>
      </c>
      <c r="H50">
        <v>67</v>
      </c>
      <c r="I50">
        <v>18</v>
      </c>
      <c r="J50">
        <v>54</v>
      </c>
      <c r="K50">
        <v>17</v>
      </c>
      <c r="L50">
        <v>40</v>
      </c>
      <c r="M50">
        <v>9</v>
      </c>
      <c r="N50">
        <v>38</v>
      </c>
      <c r="O50">
        <v>8</v>
      </c>
      <c r="P50">
        <v>39</v>
      </c>
      <c r="Q50">
        <v>8</v>
      </c>
      <c r="R50">
        <v>32</v>
      </c>
      <c r="S50">
        <v>7</v>
      </c>
      <c r="T50">
        <v>36</v>
      </c>
      <c r="U50">
        <v>7</v>
      </c>
      <c r="V50">
        <v>39</v>
      </c>
      <c r="W50">
        <v>9</v>
      </c>
      <c r="X50">
        <v>35</v>
      </c>
      <c r="Y50">
        <v>8</v>
      </c>
      <c r="Z50">
        <v>33</v>
      </c>
      <c r="AA50">
        <v>7</v>
      </c>
      <c r="AB50" t="s">
        <v>185</v>
      </c>
      <c r="AC50" t="s">
        <v>186</v>
      </c>
      <c r="AD50" t="s">
        <v>187</v>
      </c>
      <c r="AE50" s="16" t="s">
        <v>188</v>
      </c>
      <c r="AF50">
        <v>96</v>
      </c>
    </row>
    <row r="51" spans="1:32" ht="28.8" x14ac:dyDescent="0.3">
      <c r="A51" s="2">
        <v>1304032</v>
      </c>
      <c r="B51" s="2">
        <v>50</v>
      </c>
      <c r="C51" s="1" t="s">
        <v>126</v>
      </c>
      <c r="D51" s="3">
        <v>38337</v>
      </c>
      <c r="E51" s="4" t="s">
        <v>127</v>
      </c>
      <c r="F51" s="5" t="s">
        <v>18</v>
      </c>
      <c r="G51" s="1" t="s">
        <v>128</v>
      </c>
      <c r="H51">
        <v>76</v>
      </c>
      <c r="I51">
        <v>19</v>
      </c>
      <c r="J51">
        <v>60</v>
      </c>
      <c r="K51">
        <v>19</v>
      </c>
      <c r="L51">
        <v>36</v>
      </c>
      <c r="M51">
        <v>6</v>
      </c>
      <c r="N51">
        <v>39</v>
      </c>
      <c r="O51">
        <v>8</v>
      </c>
      <c r="P51">
        <v>39</v>
      </c>
      <c r="Q51">
        <v>9</v>
      </c>
      <c r="R51">
        <v>37</v>
      </c>
      <c r="S51">
        <v>8</v>
      </c>
      <c r="T51">
        <v>40</v>
      </c>
      <c r="U51">
        <v>9</v>
      </c>
      <c r="V51">
        <v>37</v>
      </c>
      <c r="W51">
        <v>7</v>
      </c>
      <c r="X51">
        <v>33</v>
      </c>
      <c r="Y51">
        <v>6</v>
      </c>
      <c r="Z51">
        <v>40</v>
      </c>
      <c r="AA51">
        <v>9</v>
      </c>
      <c r="AB51" t="s">
        <v>186</v>
      </c>
      <c r="AC51" t="s">
        <v>187</v>
      </c>
      <c r="AD51" t="s">
        <v>185</v>
      </c>
      <c r="AE51" s="16" t="s">
        <v>190</v>
      </c>
      <c r="AF51">
        <v>87</v>
      </c>
    </row>
    <row r="52" spans="1:32" ht="28.8" x14ac:dyDescent="0.3">
      <c r="A52" s="2">
        <v>1304037</v>
      </c>
      <c r="B52" s="2">
        <v>51</v>
      </c>
      <c r="C52" s="1" t="s">
        <v>232</v>
      </c>
      <c r="D52" s="3">
        <v>38188</v>
      </c>
      <c r="E52" s="4" t="s">
        <v>129</v>
      </c>
      <c r="F52" s="5" t="s">
        <v>18</v>
      </c>
      <c r="G52" s="1" t="s">
        <v>231</v>
      </c>
      <c r="H52">
        <v>54</v>
      </c>
      <c r="I52">
        <v>14</v>
      </c>
      <c r="J52">
        <v>54</v>
      </c>
      <c r="K52">
        <v>14</v>
      </c>
      <c r="L52">
        <v>39</v>
      </c>
      <c r="M52">
        <v>7</v>
      </c>
      <c r="N52">
        <v>35</v>
      </c>
      <c r="O52">
        <v>6</v>
      </c>
      <c r="P52">
        <v>37</v>
      </c>
      <c r="Q52">
        <v>8</v>
      </c>
      <c r="R52">
        <v>39</v>
      </c>
      <c r="S52">
        <v>8</v>
      </c>
      <c r="T52">
        <v>33</v>
      </c>
      <c r="U52">
        <v>7</v>
      </c>
      <c r="V52">
        <v>32</v>
      </c>
      <c r="W52">
        <v>5</v>
      </c>
      <c r="X52">
        <v>30</v>
      </c>
      <c r="Y52">
        <v>5</v>
      </c>
      <c r="Z52">
        <v>31</v>
      </c>
      <c r="AA52">
        <v>7</v>
      </c>
      <c r="AB52" t="s">
        <v>185</v>
      </c>
      <c r="AC52" t="s">
        <v>186</v>
      </c>
      <c r="AD52" t="s">
        <v>187</v>
      </c>
      <c r="AE52" s="16" t="s">
        <v>188</v>
      </c>
      <c r="AF52">
        <v>96</v>
      </c>
    </row>
    <row r="53" spans="1:32" ht="28.8" x14ac:dyDescent="0.3">
      <c r="A53" s="2">
        <v>1304010</v>
      </c>
      <c r="B53" s="2">
        <v>52</v>
      </c>
      <c r="C53" s="1" t="s">
        <v>229</v>
      </c>
      <c r="D53" s="3">
        <v>38230</v>
      </c>
      <c r="E53" s="4" t="s">
        <v>130</v>
      </c>
      <c r="F53" s="5" t="s">
        <v>12</v>
      </c>
      <c r="G53" s="1" t="s">
        <v>230</v>
      </c>
      <c r="H53">
        <v>67</v>
      </c>
      <c r="I53">
        <v>18</v>
      </c>
      <c r="J53">
        <v>54</v>
      </c>
      <c r="K53">
        <v>17</v>
      </c>
      <c r="L53">
        <v>40</v>
      </c>
      <c r="M53">
        <v>9</v>
      </c>
      <c r="N53">
        <v>38</v>
      </c>
      <c r="O53">
        <v>8</v>
      </c>
      <c r="P53">
        <v>39</v>
      </c>
      <c r="Q53">
        <v>8</v>
      </c>
      <c r="R53">
        <v>32</v>
      </c>
      <c r="S53">
        <v>7</v>
      </c>
      <c r="T53">
        <v>36</v>
      </c>
      <c r="U53">
        <v>7</v>
      </c>
      <c r="V53">
        <v>39</v>
      </c>
      <c r="W53">
        <v>9</v>
      </c>
      <c r="X53">
        <v>35</v>
      </c>
      <c r="Y53">
        <v>8</v>
      </c>
      <c r="Z53">
        <v>33</v>
      </c>
      <c r="AA53">
        <v>7</v>
      </c>
      <c r="AB53" t="s">
        <v>185</v>
      </c>
      <c r="AC53" t="s">
        <v>186</v>
      </c>
      <c r="AD53" t="s">
        <v>187</v>
      </c>
      <c r="AE53" s="16" t="s">
        <v>188</v>
      </c>
      <c r="AF53">
        <v>96</v>
      </c>
    </row>
    <row r="54" spans="1:32" x14ac:dyDescent="0.3">
      <c r="A54" s="17" t="s">
        <v>137</v>
      </c>
      <c r="B54" s="18" t="s">
        <v>138</v>
      </c>
    </row>
    <row r="55" spans="1:32" x14ac:dyDescent="0.3">
      <c r="A55" s="17" t="s">
        <v>136</v>
      </c>
      <c r="B55" s="18">
        <v>52</v>
      </c>
    </row>
    <row r="56" spans="1:32" x14ac:dyDescent="0.3">
      <c r="A56" s="17" t="s">
        <v>184</v>
      </c>
      <c r="B56" s="18">
        <v>98</v>
      </c>
    </row>
    <row r="57" spans="1:32" x14ac:dyDescent="0.3">
      <c r="A57" s="17" t="s">
        <v>237</v>
      </c>
      <c r="B57" s="18">
        <v>3</v>
      </c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1211580</xdr:colOff>
                <xdr:row>1</xdr:row>
                <xdr:rowOff>0</xdr:rowOff>
              </from>
              <to>
                <xdr:col>2</xdr:col>
                <xdr:colOff>2415540</xdr:colOff>
                <xdr:row>2</xdr:row>
                <xdr:rowOff>15240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O31"/>
  <sheetViews>
    <sheetView tabSelected="1" zoomScaleNormal="100" zoomScaleSheetLayoutView="40" workbookViewId="0">
      <selection activeCell="K25" sqref="K25:L25"/>
    </sheetView>
  </sheetViews>
  <sheetFormatPr defaultRowHeight="14.4" x14ac:dyDescent="0.3"/>
  <cols>
    <col min="1" max="1" width="9" customWidth="1"/>
    <col min="3" max="3" width="12.88671875" customWidth="1"/>
    <col min="5" max="5" width="7.44140625" customWidth="1"/>
    <col min="6" max="6" width="10.6640625" customWidth="1"/>
    <col min="7" max="7" width="8.88671875" customWidth="1"/>
    <col min="8" max="8" width="15.5546875" customWidth="1"/>
    <col min="9" max="9" width="10.6640625" bestFit="1" customWidth="1"/>
    <col min="10" max="10" width="7.5546875" customWidth="1"/>
    <col min="11" max="11" width="6.109375" customWidth="1"/>
    <col min="12" max="12" width="5.88671875" customWidth="1"/>
    <col min="15" max="15" width="10.33203125" bestFit="1" customWidth="1"/>
  </cols>
  <sheetData>
    <row r="1" spans="2:12" ht="15.6" x14ac:dyDescent="0.3">
      <c r="B1" s="31" t="s">
        <v>191</v>
      </c>
      <c r="C1" s="31"/>
      <c r="D1" s="31"/>
      <c r="E1" s="31"/>
      <c r="F1" s="31"/>
      <c r="G1" s="31"/>
      <c r="H1" s="31"/>
      <c r="I1" s="31"/>
      <c r="J1" s="31"/>
      <c r="K1" s="31"/>
      <c r="L1" s="31"/>
    </row>
    <row r="2" spans="2:12" ht="15.6" x14ac:dyDescent="0.3">
      <c r="B2" s="32" t="s">
        <v>192</v>
      </c>
      <c r="C2" s="32"/>
      <c r="D2" s="32"/>
      <c r="E2" s="32"/>
      <c r="F2" s="32"/>
      <c r="G2" s="32"/>
      <c r="H2" s="32"/>
      <c r="I2" s="32"/>
      <c r="J2" s="32"/>
      <c r="K2" s="32"/>
      <c r="L2" s="32"/>
    </row>
    <row r="3" spans="2:12" ht="15.6" x14ac:dyDescent="0.3">
      <c r="B3" s="39" t="s">
        <v>135</v>
      </c>
      <c r="C3" s="61"/>
      <c r="D3" s="61"/>
      <c r="E3" s="61"/>
      <c r="F3" s="61"/>
      <c r="G3" s="34"/>
      <c r="H3" s="21" t="s">
        <v>134</v>
      </c>
      <c r="I3" s="7" t="s">
        <v>133</v>
      </c>
      <c r="J3" s="7" t="s">
        <v>132</v>
      </c>
      <c r="K3" s="39" t="s">
        <v>131</v>
      </c>
      <c r="L3" s="34"/>
    </row>
    <row r="4" spans="2:12" ht="15.6" x14ac:dyDescent="0.3">
      <c r="B4" s="62" t="s">
        <v>234</v>
      </c>
      <c r="C4" s="63"/>
      <c r="D4" s="63"/>
      <c r="E4" s="63"/>
      <c r="F4" s="63"/>
      <c r="G4" s="64"/>
      <c r="H4" s="22" t="s">
        <v>138</v>
      </c>
      <c r="I4" s="19">
        <v>1</v>
      </c>
      <c r="J4" s="19" t="s">
        <v>9</v>
      </c>
      <c r="K4" s="65" t="s">
        <v>235</v>
      </c>
      <c r="L4" s="34"/>
    </row>
    <row r="5" spans="2:12" ht="36" customHeight="1" x14ac:dyDescent="0.3">
      <c r="B5" s="68" t="s">
        <v>139</v>
      </c>
      <c r="C5" s="69"/>
      <c r="D5" s="66" t="s">
        <v>142</v>
      </c>
      <c r="E5" s="67"/>
      <c r="F5" s="66" t="s">
        <v>141</v>
      </c>
      <c r="G5" s="67"/>
      <c r="H5" s="24" t="s">
        <v>143</v>
      </c>
      <c r="I5" s="66" t="s">
        <v>144</v>
      </c>
      <c r="J5" s="67"/>
      <c r="K5" s="68" t="s">
        <v>140</v>
      </c>
      <c r="L5" s="69"/>
    </row>
    <row r="6" spans="2:12" ht="15.6" x14ac:dyDescent="0.3">
      <c r="B6" s="48" t="s">
        <v>145</v>
      </c>
      <c r="C6" s="49"/>
      <c r="D6" s="39">
        <v>67</v>
      </c>
      <c r="E6" s="34"/>
      <c r="F6" s="39">
        <v>80</v>
      </c>
      <c r="G6" s="34"/>
      <c r="H6" s="21">
        <v>18</v>
      </c>
      <c r="I6" s="39">
        <v>20</v>
      </c>
      <c r="J6" s="34"/>
      <c r="K6" s="39">
        <f>D6+H6</f>
        <v>85</v>
      </c>
      <c r="L6" s="34"/>
    </row>
    <row r="7" spans="2:12" ht="15.6" x14ac:dyDescent="0.3">
      <c r="B7" s="48" t="s">
        <v>146</v>
      </c>
      <c r="C7" s="49"/>
      <c r="D7" s="39">
        <v>54</v>
      </c>
      <c r="E7" s="34"/>
      <c r="F7" s="39">
        <v>80</v>
      </c>
      <c r="G7" s="34"/>
      <c r="H7" s="21">
        <v>17</v>
      </c>
      <c r="I7" s="39">
        <v>20</v>
      </c>
      <c r="J7" s="34"/>
      <c r="K7" s="39">
        <f t="shared" ref="K7:K10" si="0">D7+H7</f>
        <v>71</v>
      </c>
      <c r="L7" s="34"/>
    </row>
    <row r="8" spans="2:12" ht="15.6" x14ac:dyDescent="0.3">
      <c r="B8" s="48" t="s">
        <v>147</v>
      </c>
      <c r="C8" s="49"/>
      <c r="D8" s="39">
        <v>40</v>
      </c>
      <c r="E8" s="34"/>
      <c r="F8" s="39">
        <v>40</v>
      </c>
      <c r="G8" s="34"/>
      <c r="H8" s="21">
        <v>9</v>
      </c>
      <c r="I8" s="39">
        <v>10</v>
      </c>
      <c r="J8" s="34"/>
      <c r="K8" s="39">
        <f t="shared" si="0"/>
        <v>49</v>
      </c>
      <c r="L8" s="34"/>
    </row>
    <row r="9" spans="2:12" ht="15.6" x14ac:dyDescent="0.3">
      <c r="B9" s="48" t="s">
        <v>148</v>
      </c>
      <c r="C9" s="49"/>
      <c r="D9" s="39">
        <v>38</v>
      </c>
      <c r="E9" s="34"/>
      <c r="F9" s="39">
        <v>40</v>
      </c>
      <c r="G9" s="34"/>
      <c r="H9" s="21">
        <v>8</v>
      </c>
      <c r="I9" s="39">
        <v>10</v>
      </c>
      <c r="J9" s="34"/>
      <c r="K9" s="39">
        <f t="shared" si="0"/>
        <v>46</v>
      </c>
      <c r="L9" s="34"/>
    </row>
    <row r="10" spans="2:12" s="8" customFormat="1" ht="15.6" x14ac:dyDescent="0.3">
      <c r="B10" s="29" t="s">
        <v>140</v>
      </c>
      <c r="C10" s="30"/>
      <c r="D10" s="40">
        <f>SUM(D6:E9)</f>
        <v>199</v>
      </c>
      <c r="E10" s="41"/>
      <c r="F10" s="40">
        <f>SUM(F6:G9)</f>
        <v>240</v>
      </c>
      <c r="G10" s="41"/>
      <c r="H10" s="23">
        <f>SUM(H6:H9)</f>
        <v>52</v>
      </c>
      <c r="I10" s="40">
        <f>SUM(I6:J9)</f>
        <v>60</v>
      </c>
      <c r="J10" s="41"/>
      <c r="K10" s="40">
        <f t="shared" si="0"/>
        <v>251</v>
      </c>
      <c r="L10" s="41"/>
    </row>
    <row r="11" spans="2:12" ht="15.6" x14ac:dyDescent="0.3">
      <c r="B11" s="48" t="s">
        <v>149</v>
      </c>
      <c r="C11" s="49"/>
      <c r="D11" s="39">
        <v>39</v>
      </c>
      <c r="E11" s="34"/>
      <c r="F11" s="39">
        <v>40</v>
      </c>
      <c r="G11" s="34"/>
      <c r="H11" s="21">
        <v>8</v>
      </c>
      <c r="I11" s="39">
        <v>10</v>
      </c>
      <c r="J11" s="34"/>
      <c r="K11" s="39">
        <f t="shared" ref="K11:K19" si="1">D11+H11</f>
        <v>47</v>
      </c>
      <c r="L11" s="34"/>
    </row>
    <row r="12" spans="2:12" ht="15.6" x14ac:dyDescent="0.3">
      <c r="B12" s="48" t="s">
        <v>150</v>
      </c>
      <c r="C12" s="49"/>
      <c r="D12" s="39">
        <v>32</v>
      </c>
      <c r="E12" s="34"/>
      <c r="F12" s="39">
        <v>40</v>
      </c>
      <c r="G12" s="34"/>
      <c r="H12" s="21">
        <v>7</v>
      </c>
      <c r="I12" s="39">
        <v>10</v>
      </c>
      <c r="J12" s="34"/>
      <c r="K12" s="39">
        <f t="shared" si="1"/>
        <v>39</v>
      </c>
      <c r="L12" s="34"/>
    </row>
    <row r="13" spans="2:12" s="8" customFormat="1" ht="15.6" x14ac:dyDescent="0.3">
      <c r="B13" s="29" t="s">
        <v>140</v>
      </c>
      <c r="C13" s="30"/>
      <c r="D13" s="40">
        <f>SUM(D11:E12)</f>
        <v>71</v>
      </c>
      <c r="E13" s="41"/>
      <c r="F13" s="40">
        <f>SUM(F11:G12)</f>
        <v>80</v>
      </c>
      <c r="G13" s="41"/>
      <c r="H13" s="23">
        <f>SUM(H11:H12)</f>
        <v>15</v>
      </c>
      <c r="I13" s="40">
        <f>SUM(I11:J12)</f>
        <v>20</v>
      </c>
      <c r="J13" s="41"/>
      <c r="K13" s="40">
        <f t="shared" si="1"/>
        <v>86</v>
      </c>
      <c r="L13" s="41"/>
    </row>
    <row r="14" spans="2:12" ht="15.6" x14ac:dyDescent="0.3">
      <c r="B14" s="48" t="s">
        <v>151</v>
      </c>
      <c r="C14" s="49"/>
      <c r="D14" s="39">
        <v>36</v>
      </c>
      <c r="E14" s="34"/>
      <c r="F14" s="39">
        <v>40</v>
      </c>
      <c r="G14" s="34"/>
      <c r="H14" s="21">
        <v>7</v>
      </c>
      <c r="I14" s="39">
        <v>10</v>
      </c>
      <c r="J14" s="34"/>
      <c r="K14" s="39">
        <f t="shared" si="1"/>
        <v>43</v>
      </c>
      <c r="L14" s="34"/>
    </row>
    <row r="15" spans="2:12" ht="15.6" x14ac:dyDescent="0.3">
      <c r="B15" s="48" t="s">
        <v>152</v>
      </c>
      <c r="C15" s="49"/>
      <c r="D15" s="39">
        <v>39</v>
      </c>
      <c r="E15" s="34"/>
      <c r="F15" s="39">
        <v>40</v>
      </c>
      <c r="G15" s="34"/>
      <c r="H15" s="21">
        <v>9</v>
      </c>
      <c r="I15" s="39">
        <v>10</v>
      </c>
      <c r="J15" s="34"/>
      <c r="K15" s="39">
        <f t="shared" si="1"/>
        <v>48</v>
      </c>
      <c r="L15" s="34"/>
    </row>
    <row r="16" spans="2:12" s="8" customFormat="1" ht="15.6" x14ac:dyDescent="0.3">
      <c r="B16" s="29" t="s">
        <v>140</v>
      </c>
      <c r="C16" s="30"/>
      <c r="D16" s="40">
        <f t="shared" ref="D16" si="2">SUM(D14:E15)</f>
        <v>75</v>
      </c>
      <c r="E16" s="41"/>
      <c r="F16" s="40">
        <v>80</v>
      </c>
      <c r="G16" s="41"/>
      <c r="H16" s="23">
        <f>SUM(H14:H15)</f>
        <v>16</v>
      </c>
      <c r="I16" s="40">
        <f>SUM(I14:J15)</f>
        <v>20</v>
      </c>
      <c r="J16" s="41"/>
      <c r="K16" s="40">
        <f t="shared" si="1"/>
        <v>91</v>
      </c>
      <c r="L16" s="41"/>
    </row>
    <row r="17" spans="2:15" ht="15.6" x14ac:dyDescent="0.3">
      <c r="B17" s="48" t="s">
        <v>153</v>
      </c>
      <c r="C17" s="49"/>
      <c r="D17" s="39">
        <v>35</v>
      </c>
      <c r="E17" s="34"/>
      <c r="F17" s="39">
        <v>40</v>
      </c>
      <c r="G17" s="34"/>
      <c r="H17" s="21">
        <v>8</v>
      </c>
      <c r="I17" s="39">
        <v>10</v>
      </c>
      <c r="J17" s="34"/>
      <c r="K17" s="39">
        <f t="shared" si="1"/>
        <v>43</v>
      </c>
      <c r="L17" s="34"/>
    </row>
    <row r="18" spans="2:15" ht="15.6" x14ac:dyDescent="0.3">
      <c r="B18" s="48" t="s">
        <v>154</v>
      </c>
      <c r="C18" s="49"/>
      <c r="D18" s="39">
        <v>33</v>
      </c>
      <c r="E18" s="34"/>
      <c r="F18" s="39">
        <v>40</v>
      </c>
      <c r="G18" s="34"/>
      <c r="H18" s="21">
        <v>7</v>
      </c>
      <c r="I18" s="39">
        <v>10</v>
      </c>
      <c r="J18" s="34"/>
      <c r="K18" s="39">
        <f t="shared" si="1"/>
        <v>40</v>
      </c>
      <c r="L18" s="34"/>
    </row>
    <row r="19" spans="2:15" s="8" customFormat="1" ht="15.6" x14ac:dyDescent="0.3">
      <c r="B19" s="29" t="s">
        <v>140</v>
      </c>
      <c r="C19" s="30"/>
      <c r="D19" s="40">
        <f>SUM(D17:E18)</f>
        <v>68</v>
      </c>
      <c r="E19" s="41"/>
      <c r="F19" s="40">
        <v>80</v>
      </c>
      <c r="G19" s="41"/>
      <c r="H19" s="23">
        <f>SUM(H17:H18)</f>
        <v>15</v>
      </c>
      <c r="I19" s="40">
        <f>SUM(I17:J18)</f>
        <v>20</v>
      </c>
      <c r="J19" s="41"/>
      <c r="K19" s="40">
        <f t="shared" si="1"/>
        <v>83</v>
      </c>
      <c r="L19" s="41"/>
    </row>
    <row r="20" spans="2:15" ht="15.6" x14ac:dyDescent="0.3">
      <c r="B20" s="29" t="s">
        <v>155</v>
      </c>
      <c r="C20" s="30"/>
      <c r="D20" s="39"/>
      <c r="E20" s="34"/>
      <c r="F20" s="39"/>
      <c r="G20" s="34"/>
      <c r="H20" s="21"/>
      <c r="I20" s="39"/>
      <c r="J20" s="34"/>
      <c r="K20" s="39"/>
      <c r="L20" s="34"/>
    </row>
    <row r="21" spans="2:15" ht="15.6" x14ac:dyDescent="0.3">
      <c r="B21" s="48" t="s">
        <v>156</v>
      </c>
      <c r="C21" s="49"/>
      <c r="D21" s="60" t="s">
        <v>185</v>
      </c>
      <c r="E21" s="34"/>
      <c r="F21" s="39"/>
      <c r="G21" s="34"/>
      <c r="H21" s="21"/>
      <c r="I21" s="39"/>
      <c r="J21" s="34"/>
      <c r="K21" s="39"/>
      <c r="L21" s="34"/>
    </row>
    <row r="22" spans="2:15" ht="15.6" x14ac:dyDescent="0.3">
      <c r="B22" s="48" t="s">
        <v>157</v>
      </c>
      <c r="C22" s="49"/>
      <c r="D22" s="39" t="s">
        <v>187</v>
      </c>
      <c r="E22" s="34"/>
      <c r="F22" s="39"/>
      <c r="G22" s="34"/>
      <c r="H22" s="21"/>
      <c r="I22" s="39"/>
      <c r="J22" s="34"/>
      <c r="K22" s="39"/>
      <c r="L22" s="34"/>
    </row>
    <row r="23" spans="2:15" ht="15.6" x14ac:dyDescent="0.3">
      <c r="B23" s="48" t="s">
        <v>158</v>
      </c>
      <c r="C23" s="49"/>
      <c r="D23" s="39" t="s">
        <v>186</v>
      </c>
      <c r="E23" s="34"/>
      <c r="F23" s="39"/>
      <c r="G23" s="34"/>
      <c r="H23" s="21"/>
      <c r="I23" s="39"/>
      <c r="J23" s="34"/>
      <c r="K23" s="39"/>
      <c r="L23" s="34"/>
    </row>
    <row r="24" spans="2:15" s="8" customFormat="1" ht="15.6" x14ac:dyDescent="0.3">
      <c r="B24" s="46" t="s">
        <v>159</v>
      </c>
      <c r="C24" s="47"/>
      <c r="D24" s="44">
        <f>(D10+H10+D13+H13+D16+H16+D19+H19)</f>
        <v>511</v>
      </c>
      <c r="E24" s="45"/>
      <c r="F24" s="40">
        <f>SUM(F10+F13+F16+F19)</f>
        <v>480</v>
      </c>
      <c r="G24" s="41"/>
      <c r="H24" s="23"/>
      <c r="I24" s="40">
        <f>SUM(I10+I13+I16+I19)</f>
        <v>120</v>
      </c>
      <c r="J24" s="41"/>
      <c r="K24" s="40"/>
      <c r="L24" s="41"/>
    </row>
    <row r="25" spans="2:15" ht="15.6" x14ac:dyDescent="0.3">
      <c r="B25" s="50" t="s">
        <v>193</v>
      </c>
      <c r="C25" s="51"/>
      <c r="D25" s="51"/>
      <c r="E25" s="52"/>
      <c r="F25" s="42" t="s">
        <v>160</v>
      </c>
      <c r="G25" s="43"/>
      <c r="H25" s="25" t="str">
        <f>ROUNDUP(D24/(F24+I24)*100,2) &amp; "%"</f>
        <v>85.17%</v>
      </c>
      <c r="I25" s="43" t="s">
        <v>161</v>
      </c>
      <c r="J25" s="43"/>
      <c r="K25" s="33" t="s">
        <v>233</v>
      </c>
      <c r="L25" s="33"/>
    </row>
    <row r="26" spans="2:15" ht="15.75" customHeight="1" x14ac:dyDescent="0.3">
      <c r="B26" s="53" t="s">
        <v>188</v>
      </c>
      <c r="C26" s="54"/>
      <c r="D26" s="54"/>
      <c r="E26" s="55"/>
      <c r="F26" s="34"/>
      <c r="G26" s="35"/>
      <c r="H26" s="35"/>
      <c r="I26" s="35"/>
      <c r="J26" s="35"/>
      <c r="K26" s="35"/>
      <c r="L26" s="35"/>
      <c r="O26" s="6"/>
    </row>
    <row r="27" spans="2:15" ht="15.75" customHeight="1" x14ac:dyDescent="0.3">
      <c r="B27" s="56"/>
      <c r="C27" s="54"/>
      <c r="D27" s="54"/>
      <c r="E27" s="55"/>
      <c r="F27" s="34"/>
      <c r="G27" s="35"/>
      <c r="H27" s="35"/>
      <c r="I27" s="35"/>
      <c r="J27" s="35"/>
      <c r="K27" s="35"/>
      <c r="L27" s="35"/>
    </row>
    <row r="28" spans="2:15" x14ac:dyDescent="0.3">
      <c r="B28" s="56"/>
      <c r="C28" s="54"/>
      <c r="D28" s="54"/>
      <c r="E28" s="55"/>
      <c r="F28" s="34"/>
      <c r="G28" s="35"/>
      <c r="H28" s="35"/>
      <c r="I28" s="35"/>
      <c r="J28" s="35"/>
      <c r="K28" s="35"/>
      <c r="L28" s="35"/>
    </row>
    <row r="29" spans="2:15" ht="15.6" x14ac:dyDescent="0.3">
      <c r="B29" s="57"/>
      <c r="C29" s="58"/>
      <c r="D29" s="58"/>
      <c r="E29" s="59"/>
      <c r="F29" s="20" t="s">
        <v>195</v>
      </c>
      <c r="G29" s="36" t="s">
        <v>162</v>
      </c>
      <c r="H29" s="36"/>
      <c r="I29" s="36" t="s">
        <v>163</v>
      </c>
      <c r="J29" s="36"/>
      <c r="K29" s="36"/>
      <c r="L29" s="36"/>
    </row>
    <row r="30" spans="2:15" ht="15.75" customHeight="1" x14ac:dyDescent="0.3">
      <c r="B30" s="37" t="s">
        <v>236</v>
      </c>
      <c r="C30" s="38"/>
      <c r="D30" s="27" t="s">
        <v>194</v>
      </c>
      <c r="E30" s="27"/>
      <c r="F30" s="28"/>
      <c r="G30" s="28"/>
      <c r="H30" s="28"/>
      <c r="I30" s="28"/>
      <c r="J30" s="28"/>
      <c r="K30" s="28"/>
      <c r="L30" s="28"/>
      <c r="O30" s="6"/>
    </row>
    <row r="31" spans="2:15" ht="15.6" x14ac:dyDescent="0.3">
      <c r="B31" s="9"/>
      <c r="C31" s="10"/>
      <c r="D31" s="10"/>
      <c r="E31" s="10"/>
      <c r="F31" s="10"/>
      <c r="G31" s="10"/>
      <c r="H31" s="10"/>
      <c r="I31" s="10"/>
      <c r="J31" s="10"/>
      <c r="K31" s="10"/>
      <c r="L31" s="10"/>
    </row>
  </sheetData>
  <mergeCells count="116">
    <mergeCell ref="B9:C9"/>
    <mergeCell ref="B10:C10"/>
    <mergeCell ref="B11:C11"/>
    <mergeCell ref="D6:E6"/>
    <mergeCell ref="D7:E7"/>
    <mergeCell ref="D8:E8"/>
    <mergeCell ref="D9:E9"/>
    <mergeCell ref="D10:E10"/>
    <mergeCell ref="D11:E11"/>
    <mergeCell ref="F7:G7"/>
    <mergeCell ref="F8:G8"/>
    <mergeCell ref="F9:G9"/>
    <mergeCell ref="F10:G10"/>
    <mergeCell ref="F11:G11"/>
    <mergeCell ref="B3:G3"/>
    <mergeCell ref="B4:G4"/>
    <mergeCell ref="K3:L3"/>
    <mergeCell ref="K4:L4"/>
    <mergeCell ref="I5:J5"/>
    <mergeCell ref="K5:L5"/>
    <mergeCell ref="B6:C6"/>
    <mergeCell ref="F6:G6"/>
    <mergeCell ref="F5:G5"/>
    <mergeCell ref="D5:E5"/>
    <mergeCell ref="B5:C5"/>
    <mergeCell ref="K6:L6"/>
    <mergeCell ref="K7:L7"/>
    <mergeCell ref="K8:L8"/>
    <mergeCell ref="K9:L9"/>
    <mergeCell ref="K10:L10"/>
    <mergeCell ref="K11:L11"/>
    <mergeCell ref="B7:C7"/>
    <mergeCell ref="B8:C8"/>
    <mergeCell ref="F16:G16"/>
    <mergeCell ref="F17:G17"/>
    <mergeCell ref="D12:E12"/>
    <mergeCell ref="D13:E13"/>
    <mergeCell ref="D14:E14"/>
    <mergeCell ref="D15:E15"/>
    <mergeCell ref="D16:E16"/>
    <mergeCell ref="D17:E17"/>
    <mergeCell ref="B15:C15"/>
    <mergeCell ref="B16:C16"/>
    <mergeCell ref="B17:C17"/>
    <mergeCell ref="B18:C18"/>
    <mergeCell ref="F18:G18"/>
    <mergeCell ref="F19:G19"/>
    <mergeCell ref="D18:E18"/>
    <mergeCell ref="D19:E19"/>
    <mergeCell ref="F12:G12"/>
    <mergeCell ref="F13:G13"/>
    <mergeCell ref="F14:G14"/>
    <mergeCell ref="I6:J6"/>
    <mergeCell ref="I7:J7"/>
    <mergeCell ref="I8:J8"/>
    <mergeCell ref="I9:J9"/>
    <mergeCell ref="I10:J10"/>
    <mergeCell ref="I11:J11"/>
    <mergeCell ref="I14:J14"/>
    <mergeCell ref="I15:J15"/>
    <mergeCell ref="I16:J16"/>
    <mergeCell ref="I17:J17"/>
    <mergeCell ref="I12:J12"/>
    <mergeCell ref="I13:J13"/>
    <mergeCell ref="B12:C12"/>
    <mergeCell ref="B13:C13"/>
    <mergeCell ref="B14:C14"/>
    <mergeCell ref="F15:G15"/>
    <mergeCell ref="B23:C23"/>
    <mergeCell ref="K12:L12"/>
    <mergeCell ref="K13:L13"/>
    <mergeCell ref="K14:L14"/>
    <mergeCell ref="B25:E25"/>
    <mergeCell ref="B26:E29"/>
    <mergeCell ref="K15:L15"/>
    <mergeCell ref="K16:L16"/>
    <mergeCell ref="K17:L17"/>
    <mergeCell ref="K18:L18"/>
    <mergeCell ref="K19:L19"/>
    <mergeCell ref="K20:L20"/>
    <mergeCell ref="I24:J24"/>
    <mergeCell ref="I18:J18"/>
    <mergeCell ref="I19:J19"/>
    <mergeCell ref="I20:J20"/>
    <mergeCell ref="I21:J21"/>
    <mergeCell ref="I22:J22"/>
    <mergeCell ref="I23:J23"/>
    <mergeCell ref="F20:G20"/>
    <mergeCell ref="F21:G21"/>
    <mergeCell ref="D20:E20"/>
    <mergeCell ref="D21:E21"/>
    <mergeCell ref="D22:E22"/>
    <mergeCell ref="D30:L30"/>
    <mergeCell ref="B19:C19"/>
    <mergeCell ref="B20:C20"/>
    <mergeCell ref="B1:L1"/>
    <mergeCell ref="B2:L2"/>
    <mergeCell ref="K25:L25"/>
    <mergeCell ref="F26:L28"/>
    <mergeCell ref="G29:H29"/>
    <mergeCell ref="I29:L29"/>
    <mergeCell ref="B30:C30"/>
    <mergeCell ref="K21:L21"/>
    <mergeCell ref="K22:L22"/>
    <mergeCell ref="K23:L23"/>
    <mergeCell ref="K24:L24"/>
    <mergeCell ref="F25:G25"/>
    <mergeCell ref="I25:J25"/>
    <mergeCell ref="F24:G24"/>
    <mergeCell ref="F22:G22"/>
    <mergeCell ref="F23:G23"/>
    <mergeCell ref="D23:E23"/>
    <mergeCell ref="D24:E24"/>
    <mergeCell ref="B24:C24"/>
    <mergeCell ref="B21:C21"/>
    <mergeCell ref="B22:C22"/>
  </mergeCells>
  <pageMargins left="1.25" right="0.7" top="1.25" bottom="0.3" header="0" footer="0"/>
  <pageSetup paperSize="5" orientation="landscape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14</xdr:col>
                <xdr:colOff>160020</xdr:colOff>
                <xdr:row>2</xdr:row>
                <xdr:rowOff>22860</xdr:rowOff>
              </from>
              <to>
                <xdr:col>16</xdr:col>
                <xdr:colOff>312420</xdr:colOff>
                <xdr:row>4</xdr:row>
                <xdr:rowOff>22860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ResultSem1</vt:lpstr>
      <vt:lpstr>ResultSem1!Print_Area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Altamash</cp:lastModifiedBy>
  <cp:lastPrinted>2023-08-19T12:43:13Z</cp:lastPrinted>
  <dcterms:created xsi:type="dcterms:W3CDTF">2019-11-07T16:21:18Z</dcterms:created>
  <dcterms:modified xsi:type="dcterms:W3CDTF">2023-08-19T12:45:22Z</dcterms:modified>
</cp:coreProperties>
</file>